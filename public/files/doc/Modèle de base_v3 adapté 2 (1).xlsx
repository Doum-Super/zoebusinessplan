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yacoubadoumbia/Sites/zoebusinessplan/public/files/doc/"/>
    </mc:Choice>
  </mc:AlternateContent>
  <xr:revisionPtr revIDLastSave="0" documentId="13_ncr:1_{B3061258-C292-7A4B-A18D-8BCF189BF94E}" xr6:coauthVersionLast="47" xr6:coauthVersionMax="47" xr10:uidLastSave="{00000000-0000-0000-0000-000000000000}"/>
  <bookViews>
    <workbookView xWindow="0" yWindow="0" windowWidth="35840" windowHeight="22400" tabRatio="891" xr2:uid="{4A2582D9-50E5-49D9-BF10-B5F0E079A765}"/>
  </bookViews>
  <sheets>
    <sheet name="BP_Pres" sheetId="25" r:id="rId1"/>
    <sheet name="LiensFeuilles" sheetId="26" r:id="rId2"/>
    <sheet name="1.Var.Fin" sheetId="1" r:id="rId3"/>
    <sheet name="2.Cal.Amo.CT" sheetId="2" r:id="rId4"/>
    <sheet name="3.Cal.Amo.LT" sheetId="3" r:id="rId5"/>
    <sheet name="4.Cal.Amo.AI" sheetId="22" r:id="rId6"/>
    <sheet name="5.Inv" sheetId="18" r:id="rId7"/>
    <sheet name="6.Var.Inv" sheetId="4" r:id="rId8"/>
    <sheet name="7.Bud.Inv." sheetId="20" r:id="rId9"/>
    <sheet name="8.Prod" sheetId="5" r:id="rId10"/>
    <sheet name="9.Var.Vente1" sheetId="12" r:id="rId11"/>
    <sheet name="10.Vente" sheetId="13" r:id="rId12"/>
    <sheet name="11.Charges" sheetId="6" r:id="rId13"/>
    <sheet name="12.Char.Dir" sheetId="17" r:id="rId14"/>
    <sheet name="13.Var.Char.Ind" sheetId="14" r:id="rId15"/>
    <sheet name="14.Char.Ind" sheetId="15" r:id="rId16"/>
    <sheet name="15.Tre.Men" sheetId="7" r:id="rId17"/>
    <sheet name="16.CR" sheetId="8" r:id="rId18"/>
    <sheet name="17.Tre.An" sheetId="9" r:id="rId19"/>
    <sheet name="18.Van" sheetId="10" r:id="rId20"/>
    <sheet name="19.Bilan" sheetId="21" r:id="rId21"/>
    <sheet name="20.CR IFRS" sheetId="24" r:id="rId22"/>
    <sheet name="21.BFR" sheetId="23" r:id="rId23"/>
  </sheets>
  <externalReferences>
    <externalReference r:id="rId24"/>
  </externalReferences>
  <definedNames>
    <definedName name="_Toc209908" localSheetId="0">BP_Pres!#REF!</definedName>
    <definedName name="_Toc209939" localSheetId="0">BP_Pres!$A$157</definedName>
    <definedName name="_Toc209949" localSheetId="0">BP_Pres!$A$165</definedName>
    <definedName name="_Toc209956" localSheetId="0">BP_Pres!$A$223</definedName>
    <definedName name="_Toc209961" localSheetId="0">BP_Pres!$A$297</definedName>
    <definedName name="_Toc209965" localSheetId="0">BP_Pres!$A$369</definedName>
    <definedName name="_Toc3199075" localSheetId="0">BP_Pres!$A$98</definedName>
    <definedName name="_Toc3199076" localSheetId="0">BP_Pres!$A$125</definedName>
    <definedName name="_Toc3199077" localSheetId="0">BP_Pres!$A$126</definedName>
    <definedName name="_Toc3199078" localSheetId="0">BP_Pres!$A$130</definedName>
    <definedName name="_Toc3199080" localSheetId="0">BP_Pres!$A$160</definedName>
    <definedName name="_Toc3199082" localSheetId="0">BP_Pres!#REF!</definedName>
    <definedName name="_Toc3199083" localSheetId="0">BP_Pres!$A$167</definedName>
    <definedName name="_Toc3199084" localSheetId="0">BP_Pres!$A$199</definedName>
    <definedName name="_Toc3199085" localSheetId="0">BP_Pres!$A$200</definedName>
    <definedName name="_Toc3199086" localSheetId="0">BP_Pres!$A$211</definedName>
    <definedName name="_Toc3199088" localSheetId="0">BP_Pres!$A$224</definedName>
    <definedName name="_Toc3199089" localSheetId="0">BP_Pres!$A$252</definedName>
    <definedName name="_Toc3199090" localSheetId="0">BP_Pres!$A$269</definedName>
    <definedName name="_Toc3199091" localSheetId="0">BP_Pres!$A$297</definedName>
    <definedName name="_Toc3199092" localSheetId="0">BP_Pres!$A$298</definedName>
    <definedName name="_Toc3199093" localSheetId="0">BP_Pres!$A$346</definedName>
    <definedName name="_Toc959083" localSheetId="0">BP_Pres!$A$262</definedName>
    <definedName name="Debt_Choice">#REF!</definedName>
    <definedName name="jj">#REF!</definedName>
    <definedName name="valuevx">42.314159</definedName>
    <definedName name="_xlnm.Print_Area" localSheetId="0">BP_Pres!$A$22:$G$411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8" l="1"/>
  <c r="D14" i="8"/>
  <c r="E14" i="8"/>
  <c r="C15" i="8"/>
  <c r="D15" i="8"/>
  <c r="E15" i="8"/>
  <c r="C16" i="8"/>
  <c r="D16" i="8"/>
  <c r="E16" i="8"/>
  <c r="C17" i="8"/>
  <c r="D17" i="8"/>
  <c r="E17" i="8"/>
  <c r="C18" i="8"/>
  <c r="D18" i="8"/>
  <c r="E18" i="8"/>
  <c r="C19" i="8"/>
  <c r="D19" i="8"/>
  <c r="E19" i="8"/>
  <c r="C20" i="8"/>
  <c r="D20" i="8"/>
  <c r="E20" i="8"/>
  <c r="D13" i="8"/>
  <c r="E13" i="8"/>
  <c r="C13" i="8"/>
  <c r="C8" i="8"/>
  <c r="D8" i="8"/>
  <c r="E8" i="8"/>
  <c r="C9" i="8"/>
  <c r="D9" i="8"/>
  <c r="E9" i="8"/>
  <c r="C10" i="8"/>
  <c r="D10" i="8"/>
  <c r="E10" i="8"/>
  <c r="C25" i="8"/>
  <c r="D25" i="8"/>
  <c r="E25" i="8"/>
  <c r="C26" i="8"/>
  <c r="D26" i="8"/>
  <c r="E26" i="8"/>
  <c r="C27" i="8"/>
  <c r="D27" i="8"/>
  <c r="E27" i="8"/>
  <c r="C28" i="8"/>
  <c r="D28" i="8"/>
  <c r="E28" i="8"/>
  <c r="C29" i="8"/>
  <c r="D29" i="8"/>
  <c r="E29" i="8"/>
  <c r="C30" i="8"/>
  <c r="D30" i="8"/>
  <c r="E30" i="8"/>
  <c r="C31" i="8"/>
  <c r="D31" i="8"/>
  <c r="E31" i="8"/>
  <c r="C32" i="8"/>
  <c r="D32" i="8"/>
  <c r="E32" i="8"/>
  <c r="C33" i="8"/>
  <c r="D33" i="8"/>
  <c r="E33" i="8"/>
  <c r="D24" i="8"/>
  <c r="E24" i="8"/>
  <c r="C24" i="8"/>
  <c r="C21" i="24"/>
  <c r="D21" i="24"/>
  <c r="E21" i="24"/>
  <c r="C22" i="24"/>
  <c r="D22" i="24"/>
  <c r="E22" i="24"/>
  <c r="C23" i="24"/>
  <c r="D23" i="24"/>
  <c r="E23" i="24"/>
  <c r="C24" i="24"/>
  <c r="D24" i="24"/>
  <c r="E24" i="24"/>
  <c r="C25" i="24"/>
  <c r="D25" i="24"/>
  <c r="E25" i="24"/>
  <c r="C26" i="24"/>
  <c r="D26" i="24"/>
  <c r="E26" i="24"/>
  <c r="C27" i="24"/>
  <c r="D27" i="24"/>
  <c r="E27" i="24"/>
  <c r="C28" i="24"/>
  <c r="D28" i="24"/>
  <c r="E28" i="24"/>
  <c r="C29" i="24"/>
  <c r="D29" i="24"/>
  <c r="E29" i="24"/>
  <c r="D20" i="24"/>
  <c r="E20" i="24"/>
  <c r="C20" i="24"/>
  <c r="A15" i="23"/>
  <c r="B15" i="23"/>
  <c r="C15" i="23"/>
  <c r="D15" i="23"/>
  <c r="G15" i="23"/>
  <c r="A16" i="23"/>
  <c r="B16" i="23"/>
  <c r="C16" i="23"/>
  <c r="D16" i="23"/>
  <c r="G16" i="23" s="1"/>
  <c r="A17" i="23"/>
  <c r="B17" i="23"/>
  <c r="C17" i="23"/>
  <c r="G17" i="23" s="1"/>
  <c r="D17" i="23"/>
  <c r="A18" i="23"/>
  <c r="B18" i="23"/>
  <c r="C18" i="23"/>
  <c r="G18" i="23" s="1"/>
  <c r="D18" i="23"/>
  <c r="A19" i="23"/>
  <c r="B19" i="23"/>
  <c r="C19" i="23"/>
  <c r="D19" i="23"/>
  <c r="G19" i="23"/>
  <c r="A20" i="23"/>
  <c r="B20" i="23"/>
  <c r="C20" i="23"/>
  <c r="D20" i="23"/>
  <c r="G20" i="23"/>
  <c r="A21" i="23"/>
  <c r="B21" i="23"/>
  <c r="C21" i="23"/>
  <c r="G21" i="23" s="1"/>
  <c r="D21" i="23"/>
  <c r="A22" i="23"/>
  <c r="B22" i="23"/>
  <c r="C22" i="23"/>
  <c r="G22" i="23" s="1"/>
  <c r="D22" i="23"/>
  <c r="A23" i="23"/>
  <c r="B23" i="23"/>
  <c r="C23" i="23"/>
  <c r="D23" i="23"/>
  <c r="G23" i="23"/>
  <c r="A24" i="23"/>
  <c r="B24" i="23"/>
  <c r="C24" i="23"/>
  <c r="D24" i="23"/>
  <c r="G24" i="23" s="1"/>
  <c r="A25" i="23"/>
  <c r="B25" i="23"/>
  <c r="C25" i="23"/>
  <c r="G25" i="23" s="1"/>
  <c r="D25" i="23"/>
  <c r="A5" i="23"/>
  <c r="B5" i="23"/>
  <c r="C5" i="23"/>
  <c r="D5" i="23"/>
  <c r="A6" i="23"/>
  <c r="B6" i="23"/>
  <c r="C6" i="23"/>
  <c r="D6" i="23"/>
  <c r="G6" i="23"/>
  <c r="A7" i="23"/>
  <c r="B7" i="23"/>
  <c r="C7" i="23"/>
  <c r="G7" i="23" s="1"/>
  <c r="D7" i="23"/>
  <c r="A8" i="23"/>
  <c r="B8" i="23"/>
  <c r="C8" i="23"/>
  <c r="D8" i="23"/>
  <c r="B5" i="14"/>
  <c r="B6" i="14"/>
  <c r="B7" i="14"/>
  <c r="B8" i="14"/>
  <c r="B9" i="14"/>
  <c r="B10" i="14"/>
  <c r="B11" i="14"/>
  <c r="B12" i="14"/>
  <c r="B13" i="14"/>
  <c r="B14" i="14"/>
  <c r="B4" i="14"/>
  <c r="E37" i="6"/>
  <c r="E30" i="6"/>
  <c r="E33" i="6"/>
  <c r="A5" i="17"/>
  <c r="B5" i="17"/>
  <c r="C5" i="17"/>
  <c r="A6" i="17"/>
  <c r="B6" i="17"/>
  <c r="C6" i="17"/>
  <c r="A7" i="17"/>
  <c r="B7" i="17"/>
  <c r="C7" i="17"/>
  <c r="P5" i="17"/>
  <c r="Q5" i="17"/>
  <c r="R5" i="17"/>
  <c r="P6" i="17"/>
  <c r="Q6" i="17"/>
  <c r="R6" i="17"/>
  <c r="P7" i="17"/>
  <c r="Q7" i="17"/>
  <c r="R7" i="17"/>
  <c r="P8" i="17"/>
  <c r="Q8" i="17"/>
  <c r="R8" i="17"/>
  <c r="P9" i="17"/>
  <c r="Q9" i="17"/>
  <c r="R9" i="17"/>
  <c r="P10" i="17"/>
  <c r="Q10" i="17"/>
  <c r="R10" i="17"/>
  <c r="P11" i="17"/>
  <c r="Q11" i="17"/>
  <c r="R11" i="17"/>
  <c r="P12" i="17"/>
  <c r="Q12" i="17"/>
  <c r="R12" i="17"/>
  <c r="P13" i="17"/>
  <c r="Q13" i="17"/>
  <c r="R13" i="17"/>
  <c r="P14" i="17"/>
  <c r="Q14" i="17"/>
  <c r="R14" i="17"/>
  <c r="P15" i="17"/>
  <c r="Q15" i="17"/>
  <c r="R15" i="17"/>
  <c r="P16" i="17"/>
  <c r="Q16" i="17"/>
  <c r="R16" i="17"/>
  <c r="P17" i="17"/>
  <c r="Q17" i="17"/>
  <c r="R17" i="17"/>
  <c r="P18" i="17"/>
  <c r="Q18" i="17"/>
  <c r="R18" i="17"/>
  <c r="P19" i="17"/>
  <c r="Q19" i="17"/>
  <c r="R19" i="17"/>
  <c r="P20" i="17"/>
  <c r="Q20" i="17"/>
  <c r="R20" i="17"/>
  <c r="P21" i="17"/>
  <c r="Q21" i="17"/>
  <c r="R21" i="17"/>
  <c r="P22" i="17"/>
  <c r="Q22" i="17"/>
  <c r="R22" i="17"/>
  <c r="P23" i="17"/>
  <c r="Q23" i="17"/>
  <c r="R23" i="17"/>
  <c r="P24" i="17"/>
  <c r="Q24" i="17"/>
  <c r="R24" i="17"/>
  <c r="P25" i="17"/>
  <c r="Q25" i="17"/>
  <c r="R25" i="17"/>
  <c r="P4" i="17"/>
  <c r="Q4" i="17"/>
  <c r="R4" i="17"/>
  <c r="D14" i="17"/>
  <c r="E14" i="17"/>
  <c r="F14" i="17"/>
  <c r="G14" i="17"/>
  <c r="H14" i="17"/>
  <c r="I14" i="17"/>
  <c r="J14" i="17"/>
  <c r="K14" i="17"/>
  <c r="L14" i="17"/>
  <c r="M14" i="17"/>
  <c r="N14" i="17"/>
  <c r="O14" i="17"/>
  <c r="D15" i="17"/>
  <c r="E15" i="17"/>
  <c r="F15" i="17"/>
  <c r="G15" i="17"/>
  <c r="H15" i="17"/>
  <c r="I15" i="17"/>
  <c r="J15" i="17"/>
  <c r="K15" i="17"/>
  <c r="L15" i="17"/>
  <c r="M15" i="17"/>
  <c r="N15" i="17"/>
  <c r="O15" i="17"/>
  <c r="D16" i="17"/>
  <c r="E16" i="17"/>
  <c r="F16" i="17"/>
  <c r="G16" i="17"/>
  <c r="H16" i="17"/>
  <c r="I16" i="17"/>
  <c r="J16" i="17"/>
  <c r="K16" i="17"/>
  <c r="L16" i="17"/>
  <c r="M16" i="17"/>
  <c r="N16" i="17"/>
  <c r="O16" i="17"/>
  <c r="D17" i="17"/>
  <c r="E17" i="17"/>
  <c r="F17" i="17"/>
  <c r="G17" i="17"/>
  <c r="H17" i="17"/>
  <c r="I17" i="17"/>
  <c r="J17" i="17"/>
  <c r="K17" i="17"/>
  <c r="L17" i="17"/>
  <c r="M17" i="17"/>
  <c r="N17" i="17"/>
  <c r="O17" i="17"/>
  <c r="D18" i="17"/>
  <c r="E18" i="17"/>
  <c r="F18" i="17"/>
  <c r="G18" i="17"/>
  <c r="H18" i="17"/>
  <c r="I18" i="17"/>
  <c r="J18" i="17"/>
  <c r="K18" i="17"/>
  <c r="L18" i="17"/>
  <c r="M18" i="17"/>
  <c r="N18" i="17"/>
  <c r="O18" i="17"/>
  <c r="D19" i="17"/>
  <c r="E19" i="17"/>
  <c r="F19" i="17"/>
  <c r="G19" i="17"/>
  <c r="H19" i="17"/>
  <c r="I19" i="17"/>
  <c r="J19" i="17"/>
  <c r="K19" i="17"/>
  <c r="L19" i="17"/>
  <c r="M19" i="17"/>
  <c r="N19" i="17"/>
  <c r="O19" i="17"/>
  <c r="D20" i="17"/>
  <c r="E20" i="17"/>
  <c r="F20" i="17"/>
  <c r="G20" i="17"/>
  <c r="H20" i="17"/>
  <c r="I20" i="17"/>
  <c r="J20" i="17"/>
  <c r="K20" i="17"/>
  <c r="L20" i="17"/>
  <c r="M20" i="17"/>
  <c r="N20" i="17"/>
  <c r="O20" i="17"/>
  <c r="D21" i="17"/>
  <c r="E21" i="17"/>
  <c r="F21" i="17"/>
  <c r="G21" i="17"/>
  <c r="H21" i="17"/>
  <c r="I21" i="17"/>
  <c r="J21" i="17"/>
  <c r="K21" i="17"/>
  <c r="L21" i="17"/>
  <c r="M21" i="17"/>
  <c r="N21" i="17"/>
  <c r="O21" i="17"/>
  <c r="D22" i="17"/>
  <c r="E22" i="17"/>
  <c r="F22" i="17"/>
  <c r="G22" i="17"/>
  <c r="H22" i="17"/>
  <c r="I22" i="17"/>
  <c r="J22" i="17"/>
  <c r="K22" i="17"/>
  <c r="L22" i="17"/>
  <c r="M22" i="17"/>
  <c r="N22" i="17"/>
  <c r="O22" i="17"/>
  <c r="D23" i="17"/>
  <c r="E23" i="17"/>
  <c r="F23" i="17"/>
  <c r="G23" i="17"/>
  <c r="H23" i="17"/>
  <c r="I23" i="17"/>
  <c r="J23" i="17"/>
  <c r="K23" i="17"/>
  <c r="L23" i="17"/>
  <c r="M23" i="17"/>
  <c r="N23" i="17"/>
  <c r="O23" i="17"/>
  <c r="D24" i="17"/>
  <c r="E24" i="17"/>
  <c r="F24" i="17"/>
  <c r="G24" i="17"/>
  <c r="H24" i="17"/>
  <c r="I24" i="17"/>
  <c r="J24" i="17"/>
  <c r="K24" i="17"/>
  <c r="L24" i="17"/>
  <c r="M24" i="17"/>
  <c r="N24" i="17"/>
  <c r="O24" i="17"/>
  <c r="D5" i="17"/>
  <c r="E5" i="17"/>
  <c r="F5" i="17"/>
  <c r="G5" i="17"/>
  <c r="H5" i="17"/>
  <c r="I5" i="17"/>
  <c r="J5" i="17"/>
  <c r="K5" i="17"/>
  <c r="L5" i="17"/>
  <c r="M5" i="17"/>
  <c r="N5" i="17"/>
  <c r="O5" i="17"/>
  <c r="D6" i="17"/>
  <c r="E6" i="17"/>
  <c r="F6" i="17"/>
  <c r="G6" i="17"/>
  <c r="H6" i="17"/>
  <c r="I6" i="17"/>
  <c r="J6" i="17"/>
  <c r="K6" i="17"/>
  <c r="L6" i="17"/>
  <c r="M6" i="17"/>
  <c r="N6" i="17"/>
  <c r="O6" i="17"/>
  <c r="D7" i="17"/>
  <c r="E7" i="17"/>
  <c r="F7" i="17"/>
  <c r="G7" i="17"/>
  <c r="H7" i="17"/>
  <c r="I7" i="17"/>
  <c r="J7" i="17"/>
  <c r="K7" i="17"/>
  <c r="L7" i="17"/>
  <c r="M7" i="17"/>
  <c r="N7" i="17"/>
  <c r="O7" i="17"/>
  <c r="B14" i="17"/>
  <c r="C14" i="17"/>
  <c r="B15" i="17"/>
  <c r="C15" i="17"/>
  <c r="B16" i="17"/>
  <c r="C16" i="17"/>
  <c r="B17" i="17"/>
  <c r="C17" i="17"/>
  <c r="B18" i="17"/>
  <c r="C18" i="17"/>
  <c r="B19" i="17"/>
  <c r="C19" i="17"/>
  <c r="B20" i="17"/>
  <c r="C20" i="17"/>
  <c r="B21" i="17"/>
  <c r="C21" i="17"/>
  <c r="B22" i="17"/>
  <c r="C22" i="17"/>
  <c r="B23" i="17"/>
  <c r="C23" i="17"/>
  <c r="B24" i="17"/>
  <c r="C24" i="17"/>
  <c r="A14" i="17"/>
  <c r="A15" i="17"/>
  <c r="A16" i="17"/>
  <c r="A17" i="17"/>
  <c r="A18" i="17"/>
  <c r="A19" i="17"/>
  <c r="A20" i="17"/>
  <c r="A21" i="17"/>
  <c r="A22" i="17"/>
  <c r="A23" i="17"/>
  <c r="A24" i="17"/>
  <c r="O9" i="13"/>
  <c r="P9" i="13"/>
  <c r="Q9" i="13"/>
  <c r="R9" i="13"/>
  <c r="O10" i="13"/>
  <c r="P10" i="13"/>
  <c r="Q10" i="13"/>
  <c r="R10" i="13"/>
  <c r="O11" i="13"/>
  <c r="P11" i="13"/>
  <c r="Q11" i="13"/>
  <c r="R11" i="13"/>
  <c r="G8" i="23" l="1"/>
  <c r="G5" i="23"/>
  <c r="A6" i="13" l="1"/>
  <c r="B6" i="13"/>
  <c r="C6" i="13"/>
  <c r="A7" i="13"/>
  <c r="B7" i="13"/>
  <c r="C7" i="13"/>
  <c r="A8" i="13"/>
  <c r="B8" i="13"/>
  <c r="C8" i="13"/>
  <c r="A6" i="12"/>
  <c r="A7" i="12"/>
  <c r="A8" i="12"/>
  <c r="C6" i="12"/>
  <c r="C7" i="12"/>
  <c r="C8" i="12"/>
  <c r="B6" i="12"/>
  <c r="B7" i="12"/>
  <c r="B8" i="12"/>
  <c r="D5" i="5"/>
  <c r="E5" i="5"/>
  <c r="D6" i="5"/>
  <c r="E6" i="5"/>
  <c r="J7" i="13" s="1"/>
  <c r="D7" i="5"/>
  <c r="E7" i="5"/>
  <c r="F8" i="13" l="1"/>
  <c r="M7" i="13"/>
  <c r="F6" i="13"/>
  <c r="H6" i="13"/>
  <c r="K8" i="13"/>
  <c r="I7" i="13"/>
  <c r="G6" i="13"/>
  <c r="J8" i="13"/>
  <c r="H7" i="13"/>
  <c r="L8" i="13"/>
  <c r="O6" i="13"/>
  <c r="R6" i="13"/>
  <c r="P6" i="13"/>
  <c r="Q6" i="13"/>
  <c r="H8" i="13"/>
  <c r="N7" i="13"/>
  <c r="F7" i="13"/>
  <c r="L6" i="13"/>
  <c r="D6" i="13"/>
  <c r="D8" i="13"/>
  <c r="M6" i="13"/>
  <c r="K6" i="13"/>
  <c r="P7" i="13"/>
  <c r="Q7" i="13"/>
  <c r="R7" i="13"/>
  <c r="O7" i="13"/>
  <c r="N6" i="13"/>
  <c r="I8" i="13"/>
  <c r="G7" i="13"/>
  <c r="E6" i="13"/>
  <c r="G8" i="13"/>
  <c r="E7" i="13"/>
  <c r="N8" i="13"/>
  <c r="L7" i="13"/>
  <c r="D7" i="13"/>
  <c r="J6" i="13"/>
  <c r="O8" i="13"/>
  <c r="R8" i="13"/>
  <c r="P8" i="13"/>
  <c r="Q8" i="13"/>
  <c r="M8" i="13"/>
  <c r="E8" i="13"/>
  <c r="K7" i="13"/>
  <c r="I6" i="13"/>
  <c r="C11" i="20"/>
  <c r="D11" i="20"/>
  <c r="E11" i="20"/>
  <c r="F11" i="20"/>
  <c r="G11" i="20"/>
  <c r="H11" i="20"/>
  <c r="I11" i="20"/>
  <c r="J11" i="20"/>
  <c r="K11" i="20"/>
  <c r="L11" i="20"/>
  <c r="M11" i="20"/>
  <c r="N11" i="20"/>
  <c r="O11" i="20"/>
  <c r="P11" i="20"/>
  <c r="R11" i="20"/>
  <c r="S11" i="20"/>
  <c r="C12" i="20"/>
  <c r="D12" i="20"/>
  <c r="E12" i="20"/>
  <c r="F12" i="20"/>
  <c r="G12" i="20"/>
  <c r="H12" i="20"/>
  <c r="I12" i="20"/>
  <c r="J12" i="20"/>
  <c r="K12" i="20"/>
  <c r="L12" i="20"/>
  <c r="M12" i="20"/>
  <c r="N12" i="20"/>
  <c r="O12" i="20"/>
  <c r="P12" i="20"/>
  <c r="R12" i="20"/>
  <c r="S12" i="20"/>
  <c r="C13" i="20"/>
  <c r="D13" i="20"/>
  <c r="E13" i="20"/>
  <c r="F13" i="20"/>
  <c r="G13" i="20"/>
  <c r="H13" i="20"/>
  <c r="I13" i="20"/>
  <c r="J13" i="20"/>
  <c r="K13" i="20"/>
  <c r="L13" i="20"/>
  <c r="M13" i="20"/>
  <c r="N13" i="20"/>
  <c r="O13" i="20"/>
  <c r="P13" i="20"/>
  <c r="R13" i="20"/>
  <c r="S13" i="20"/>
  <c r="C14" i="20"/>
  <c r="D14" i="20"/>
  <c r="E14" i="20"/>
  <c r="F14" i="20"/>
  <c r="G14" i="20"/>
  <c r="H14" i="20"/>
  <c r="I14" i="20"/>
  <c r="J14" i="20"/>
  <c r="K14" i="20"/>
  <c r="L14" i="20"/>
  <c r="M14" i="20"/>
  <c r="N14" i="20"/>
  <c r="O14" i="20"/>
  <c r="P14" i="20"/>
  <c r="R14" i="20"/>
  <c r="S14" i="20"/>
  <c r="C15" i="20"/>
  <c r="D15" i="20"/>
  <c r="E15" i="20"/>
  <c r="F15" i="20"/>
  <c r="G15" i="20"/>
  <c r="H15" i="20"/>
  <c r="I15" i="20"/>
  <c r="J15" i="20"/>
  <c r="K15" i="20"/>
  <c r="L15" i="20"/>
  <c r="M15" i="20"/>
  <c r="N15" i="20"/>
  <c r="O15" i="20"/>
  <c r="P15" i="20"/>
  <c r="R15" i="20"/>
  <c r="S15" i="20"/>
  <c r="C16" i="20"/>
  <c r="D16" i="20"/>
  <c r="E16" i="20"/>
  <c r="F16" i="20"/>
  <c r="G16" i="20"/>
  <c r="H16" i="20"/>
  <c r="I16" i="20"/>
  <c r="J16" i="20"/>
  <c r="K16" i="20"/>
  <c r="L16" i="20"/>
  <c r="M16" i="20"/>
  <c r="N16" i="20"/>
  <c r="O16" i="20"/>
  <c r="P16" i="20"/>
  <c r="R16" i="20"/>
  <c r="S16" i="20"/>
  <c r="C17" i="20"/>
  <c r="D17" i="20"/>
  <c r="E17" i="20"/>
  <c r="F17" i="20"/>
  <c r="G17" i="20"/>
  <c r="H17" i="20"/>
  <c r="I17" i="20"/>
  <c r="J17" i="20"/>
  <c r="K17" i="20"/>
  <c r="L17" i="20"/>
  <c r="M17" i="20"/>
  <c r="N17" i="20"/>
  <c r="O17" i="20"/>
  <c r="P17" i="20"/>
  <c r="R17" i="20"/>
  <c r="S17" i="20"/>
  <c r="C12" i="4"/>
  <c r="D12" i="4"/>
  <c r="C13" i="4"/>
  <c r="D13" i="4"/>
  <c r="C14" i="4"/>
  <c r="D14" i="4"/>
  <c r="C15" i="4"/>
  <c r="D15" i="4"/>
  <c r="C16" i="4"/>
  <c r="D16" i="4"/>
  <c r="E4" i="5"/>
  <c r="D4" i="5"/>
  <c r="B4" i="24"/>
  <c r="H302" i="25" s="1"/>
  <c r="A398" i="25"/>
  <c r="A399" i="25"/>
  <c r="A400" i="25"/>
  <c r="A401" i="25"/>
  <c r="A402" i="25"/>
  <c r="A403" i="25"/>
  <c r="A404" i="25"/>
  <c r="A405" i="25"/>
  <c r="A406" i="25"/>
  <c r="A407" i="25"/>
  <c r="A408" i="25"/>
  <c r="A409" i="25"/>
  <c r="A410" i="25"/>
  <c r="A411" i="25"/>
  <c r="A397" i="25"/>
  <c r="E120" i="25"/>
  <c r="F120" i="25"/>
  <c r="B402" i="25"/>
  <c r="C402" i="25"/>
  <c r="D402" i="25"/>
  <c r="B403" i="25"/>
  <c r="C403" i="25"/>
  <c r="D403" i="25"/>
  <c r="B407" i="25"/>
  <c r="B410" i="25"/>
  <c r="C410" i="25"/>
  <c r="D410" i="25"/>
  <c r="B373" i="25"/>
  <c r="C365" i="25"/>
  <c r="D365" i="25"/>
  <c r="E365" i="25"/>
  <c r="F365" i="25"/>
  <c r="G365" i="25"/>
  <c r="H365" i="25"/>
  <c r="I365" i="25"/>
  <c r="J365" i="25"/>
  <c r="K365" i="25"/>
  <c r="L365" i="25"/>
  <c r="M365" i="25"/>
  <c r="B349" i="25"/>
  <c r="B353" i="25"/>
  <c r="C353" i="25"/>
  <c r="D353" i="25"/>
  <c r="E353" i="25"/>
  <c r="F353" i="25"/>
  <c r="G353" i="25"/>
  <c r="H353" i="25"/>
  <c r="I353" i="25"/>
  <c r="J353" i="25"/>
  <c r="K353" i="25"/>
  <c r="L353" i="25"/>
  <c r="M353" i="25"/>
  <c r="G306" i="25"/>
  <c r="H306" i="25"/>
  <c r="G315" i="25"/>
  <c r="H315" i="25"/>
  <c r="G316" i="25"/>
  <c r="H316" i="25"/>
  <c r="G317" i="25"/>
  <c r="H317" i="25"/>
  <c r="G330" i="25"/>
  <c r="H330" i="25"/>
  <c r="G331" i="25"/>
  <c r="H331" i="25"/>
  <c r="G332" i="25"/>
  <c r="H332" i="25"/>
  <c r="G333" i="25"/>
  <c r="H333" i="25"/>
  <c r="G334" i="25"/>
  <c r="H334" i="25"/>
  <c r="G335" i="25"/>
  <c r="H335" i="25"/>
  <c r="G336" i="25"/>
  <c r="H336" i="25"/>
  <c r="G337" i="25"/>
  <c r="H337" i="25"/>
  <c r="G338" i="25"/>
  <c r="H338" i="25"/>
  <c r="G339" i="25"/>
  <c r="H339" i="25"/>
  <c r="G340" i="25"/>
  <c r="H340" i="25"/>
  <c r="G341" i="25"/>
  <c r="H341" i="25"/>
  <c r="G342" i="25"/>
  <c r="H342" i="25"/>
  <c r="H301" i="25"/>
  <c r="I301" i="25"/>
  <c r="J301" i="25"/>
  <c r="K301" i="25"/>
  <c r="G301" i="25"/>
  <c r="A341" i="25"/>
  <c r="B341" i="25"/>
  <c r="A332" i="25"/>
  <c r="B332" i="25"/>
  <c r="A334" i="25"/>
  <c r="B334" i="25"/>
  <c r="A335" i="25"/>
  <c r="B335" i="25"/>
  <c r="A336" i="25"/>
  <c r="B336" i="25"/>
  <c r="A337" i="25"/>
  <c r="B337" i="25"/>
  <c r="A338" i="25"/>
  <c r="B338" i="25"/>
  <c r="A339" i="25"/>
  <c r="B339" i="25"/>
  <c r="A340" i="25"/>
  <c r="B340" i="25"/>
  <c r="A317" i="25"/>
  <c r="B317" i="25"/>
  <c r="A318" i="25"/>
  <c r="B318" i="25"/>
  <c r="A319" i="25"/>
  <c r="B319" i="25"/>
  <c r="C319" i="25"/>
  <c r="D319" i="25"/>
  <c r="E319" i="25"/>
  <c r="A302" i="25"/>
  <c r="B302" i="25"/>
  <c r="C302" i="25"/>
  <c r="D302" i="25"/>
  <c r="E302" i="25"/>
  <c r="A307" i="25"/>
  <c r="B307" i="25"/>
  <c r="A308" i="25"/>
  <c r="B308" i="25"/>
  <c r="C308" i="25"/>
  <c r="D308" i="25"/>
  <c r="E308" i="25"/>
  <c r="B301" i="25"/>
  <c r="C301" i="25"/>
  <c r="D301" i="25"/>
  <c r="E301" i="25"/>
  <c r="A301" i="25"/>
  <c r="B5" i="24"/>
  <c r="H303" i="25" s="1"/>
  <c r="B6" i="24"/>
  <c r="H304" i="25" s="1"/>
  <c r="B7" i="24"/>
  <c r="H305" i="25" s="1"/>
  <c r="B9" i="24"/>
  <c r="H307" i="25" s="1"/>
  <c r="B10" i="24"/>
  <c r="H308" i="25" s="1"/>
  <c r="B11" i="24"/>
  <c r="H309" i="25" s="1"/>
  <c r="B12" i="24"/>
  <c r="H310" i="25" s="1"/>
  <c r="B13" i="24"/>
  <c r="H311" i="25" s="1"/>
  <c r="B14" i="24"/>
  <c r="H312" i="25" s="1"/>
  <c r="B15" i="24"/>
  <c r="H313" i="25" s="1"/>
  <c r="B16" i="24"/>
  <c r="H314" i="25" s="1"/>
  <c r="B20" i="24"/>
  <c r="H318" i="25" s="1"/>
  <c r="B21" i="24"/>
  <c r="H319" i="25" s="1"/>
  <c r="B22" i="24"/>
  <c r="H320" i="25" s="1"/>
  <c r="B23" i="24"/>
  <c r="H321" i="25" s="1"/>
  <c r="B24" i="24"/>
  <c r="H322" i="25" s="1"/>
  <c r="B25" i="24"/>
  <c r="H323" i="25" s="1"/>
  <c r="B26" i="24"/>
  <c r="H324" i="25" s="1"/>
  <c r="B27" i="24"/>
  <c r="H325" i="25" s="1"/>
  <c r="B28" i="24"/>
  <c r="H326" i="25" s="1"/>
  <c r="B29" i="24"/>
  <c r="H327" i="25" s="1"/>
  <c r="B30" i="24"/>
  <c r="H328" i="25" s="1"/>
  <c r="B31" i="24"/>
  <c r="H329" i="25" s="1"/>
  <c r="B8" i="8"/>
  <c r="B304" i="25" s="1"/>
  <c r="B9" i="8"/>
  <c r="B305" i="25" s="1"/>
  <c r="B10" i="8"/>
  <c r="B306" i="25" s="1"/>
  <c r="B13" i="8"/>
  <c r="B309" i="25" s="1"/>
  <c r="B14" i="8"/>
  <c r="B310" i="25" s="1"/>
  <c r="B15" i="8"/>
  <c r="B311" i="25" s="1"/>
  <c r="B16" i="8"/>
  <c r="B312" i="25" s="1"/>
  <c r="B17" i="8"/>
  <c r="B313" i="25" s="1"/>
  <c r="B18" i="8"/>
  <c r="B314" i="25" s="1"/>
  <c r="B19" i="8"/>
  <c r="B315" i="25" s="1"/>
  <c r="B20" i="8"/>
  <c r="B316" i="25" s="1"/>
  <c r="B24" i="8"/>
  <c r="B320" i="25" s="1"/>
  <c r="B25" i="8"/>
  <c r="B321" i="25" s="1"/>
  <c r="B26" i="8"/>
  <c r="B322" i="25" s="1"/>
  <c r="B27" i="8"/>
  <c r="B323" i="25" s="1"/>
  <c r="B28" i="8"/>
  <c r="B324" i="25" s="1"/>
  <c r="B29" i="8"/>
  <c r="B325" i="25" s="1"/>
  <c r="B30" i="8"/>
  <c r="B326" i="25" s="1"/>
  <c r="B31" i="8"/>
  <c r="B327" i="25" s="1"/>
  <c r="B32" i="8"/>
  <c r="B328" i="25" s="1"/>
  <c r="B33" i="8"/>
  <c r="B329" i="25" s="1"/>
  <c r="B34" i="8"/>
  <c r="B330" i="25" s="1"/>
  <c r="B35" i="8"/>
  <c r="B331" i="25" s="1"/>
  <c r="A285" i="25"/>
  <c r="A286" i="25"/>
  <c r="A287" i="25"/>
  <c r="A288" i="25"/>
  <c r="A289" i="25"/>
  <c r="A290" i="25"/>
  <c r="A291" i="25"/>
  <c r="A292" i="25"/>
  <c r="A293" i="25"/>
  <c r="A294" i="25"/>
  <c r="A295" i="25"/>
  <c r="A284" i="25"/>
  <c r="E265" i="25"/>
  <c r="F265" i="25"/>
  <c r="E266" i="25"/>
  <c r="F266" i="25"/>
  <c r="Q12" i="20" l="1"/>
  <c r="Q13" i="20"/>
  <c r="Q17" i="20"/>
  <c r="Q16" i="20"/>
  <c r="Q11" i="20"/>
  <c r="Q14" i="20"/>
  <c r="Q15" i="20"/>
  <c r="Q5" i="13"/>
  <c r="D7" i="8" s="1"/>
  <c r="R5" i="13"/>
  <c r="E7" i="8" s="1"/>
  <c r="P5" i="13"/>
  <c r="C7" i="8" s="1"/>
  <c r="B7" i="8"/>
  <c r="B303" i="25" s="1"/>
  <c r="E259" i="25"/>
  <c r="F259" i="25"/>
  <c r="E255" i="25"/>
  <c r="F255" i="25"/>
  <c r="F240" i="25"/>
  <c r="G240" i="25"/>
  <c r="F241" i="25"/>
  <c r="G241" i="25"/>
  <c r="F242" i="25"/>
  <c r="G242" i="25"/>
  <c r="F243" i="25"/>
  <c r="G243" i="25"/>
  <c r="F244" i="25"/>
  <c r="G244" i="25"/>
  <c r="F245" i="25"/>
  <c r="G245" i="25"/>
  <c r="F246" i="25"/>
  <c r="G246" i="25"/>
  <c r="F247" i="25"/>
  <c r="G247" i="25"/>
  <c r="F248" i="25"/>
  <c r="G248" i="25"/>
  <c r="F249" i="25"/>
  <c r="G249" i="25"/>
  <c r="F239" i="25"/>
  <c r="G239" i="25"/>
  <c r="F228" i="25"/>
  <c r="G228" i="25"/>
  <c r="F229" i="25"/>
  <c r="G229" i="25"/>
  <c r="F230" i="25"/>
  <c r="G230" i="25"/>
  <c r="F231" i="25"/>
  <c r="G231" i="25"/>
  <c r="F232" i="25"/>
  <c r="G232" i="25"/>
  <c r="F233" i="25"/>
  <c r="G233" i="25"/>
  <c r="F234" i="25"/>
  <c r="G234" i="25"/>
  <c r="F235" i="25"/>
  <c r="G235" i="25"/>
  <c r="F236" i="25"/>
  <c r="G236" i="25"/>
  <c r="F237" i="25"/>
  <c r="G237" i="25"/>
  <c r="F238" i="25"/>
  <c r="G238" i="25"/>
  <c r="F227" i="25"/>
  <c r="G227" i="25"/>
  <c r="C136" i="25"/>
  <c r="D136" i="25"/>
  <c r="G136" i="25"/>
  <c r="C137" i="25"/>
  <c r="D137" i="25"/>
  <c r="G137" i="25"/>
  <c r="C138" i="25"/>
  <c r="D138" i="25"/>
  <c r="G138" i="25"/>
  <c r="C139" i="25"/>
  <c r="D139" i="25"/>
  <c r="G139" i="25"/>
  <c r="C140" i="25"/>
  <c r="D140" i="25"/>
  <c r="G140" i="25"/>
  <c r="C141" i="25"/>
  <c r="D141" i="25"/>
  <c r="G141" i="25"/>
  <c r="C142" i="25"/>
  <c r="D142" i="25"/>
  <c r="G142" i="25"/>
  <c r="C143" i="25"/>
  <c r="D143" i="25"/>
  <c r="G143" i="25"/>
  <c r="C144" i="25"/>
  <c r="D144" i="25"/>
  <c r="G144" i="25"/>
  <c r="C145" i="25"/>
  <c r="D145" i="25"/>
  <c r="G145" i="25"/>
  <c r="C146" i="25"/>
  <c r="D146" i="25"/>
  <c r="G146" i="25"/>
  <c r="C147" i="25"/>
  <c r="D147" i="25"/>
  <c r="G147" i="25"/>
  <c r="C148" i="25"/>
  <c r="D148" i="25"/>
  <c r="G148" i="25"/>
  <c r="C149" i="25"/>
  <c r="D149" i="25"/>
  <c r="G149" i="25"/>
  <c r="C150" i="25"/>
  <c r="D150" i="25"/>
  <c r="G150" i="25"/>
  <c r="G135" i="25"/>
  <c r="D135" i="25"/>
  <c r="C135" i="25"/>
  <c r="A134" i="25"/>
  <c r="E214" i="25"/>
  <c r="F214" i="25"/>
  <c r="E215" i="25"/>
  <c r="F215" i="25"/>
  <c r="E216" i="25"/>
  <c r="F216" i="25"/>
  <c r="E213" i="25"/>
  <c r="F213" i="25"/>
  <c r="B202" i="25"/>
  <c r="E175" i="25" l="1"/>
  <c r="E176" i="25"/>
  <c r="E177" i="25"/>
  <c r="E178" i="25"/>
  <c r="E179" i="25"/>
  <c r="E180" i="25"/>
  <c r="E181" i="25"/>
  <c r="E182" i="25"/>
  <c r="E183" i="25"/>
  <c r="E184" i="25"/>
  <c r="E185" i="25"/>
  <c r="E186" i="25"/>
  <c r="E187" i="25"/>
  <c r="E188" i="25"/>
  <c r="E189" i="25"/>
  <c r="E190" i="25"/>
  <c r="E191" i="25"/>
  <c r="E192" i="25"/>
  <c r="E193" i="25"/>
  <c r="E194" i="25"/>
  <c r="E195" i="25"/>
  <c r="E196" i="25"/>
  <c r="E174" i="25"/>
  <c r="E173" i="25" s="1"/>
  <c r="E171" i="25" s="1"/>
  <c r="E111" i="25"/>
  <c r="F111" i="25"/>
  <c r="E112" i="25"/>
  <c r="E115" i="25" s="1"/>
  <c r="F112" i="25"/>
  <c r="F115" i="25" s="1"/>
  <c r="C113" i="25"/>
  <c r="D113" i="25"/>
  <c r="E113" i="25"/>
  <c r="F113" i="25"/>
  <c r="C114" i="25"/>
  <c r="D114" i="25"/>
  <c r="E114" i="25"/>
  <c r="F114" i="25"/>
  <c r="E116" i="25"/>
  <c r="E119" i="25" s="1"/>
  <c r="F116" i="25"/>
  <c r="F119" i="25" s="1"/>
  <c r="C117" i="25"/>
  <c r="D117" i="25"/>
  <c r="E117" i="25"/>
  <c r="F117" i="25"/>
  <c r="C118" i="25"/>
  <c r="D118" i="25"/>
  <c r="E118" i="25"/>
  <c r="F118" i="25"/>
  <c r="E121" i="25"/>
  <c r="F121" i="25"/>
  <c r="E122" i="25"/>
  <c r="F122" i="25"/>
  <c r="B118" i="25"/>
  <c r="D271" i="25" s="1"/>
  <c r="B117" i="25"/>
  <c r="D272" i="25" s="1"/>
  <c r="B114" i="25"/>
  <c r="D281" i="25" s="1"/>
  <c r="B113" i="25"/>
  <c r="D282" i="25" s="1"/>
  <c r="G114" i="25" l="1"/>
  <c r="E110" i="25"/>
  <c r="G118" i="25"/>
  <c r="F110" i="25"/>
  <c r="G117" i="25"/>
  <c r="G113" i="25"/>
  <c r="B24" i="2" l="1"/>
  <c r="B43" i="2"/>
  <c r="B44" i="2" s="1"/>
  <c r="B25" i="2"/>
  <c r="B26" i="2"/>
  <c r="B45" i="2"/>
  <c r="B27" i="2"/>
  <c r="B46" i="2"/>
  <c r="B48" i="2"/>
  <c r="B29" i="2"/>
  <c r="F29" i="2" s="1"/>
  <c r="B31" i="22"/>
  <c r="F31" i="22" s="1"/>
  <c r="B31" i="3"/>
  <c r="F31" i="3" s="1"/>
  <c r="B20" i="22"/>
  <c r="B20" i="3"/>
  <c r="B16" i="22"/>
  <c r="B27" i="22"/>
  <c r="B17" i="22"/>
  <c r="B28" i="22"/>
  <c r="B18" i="22"/>
  <c r="B29" i="22"/>
  <c r="B16" i="3"/>
  <c r="B27" i="3"/>
  <c r="B17" i="3"/>
  <c r="B28" i="3"/>
  <c r="B18" i="3"/>
  <c r="B29" i="3"/>
  <c r="B6" i="22"/>
  <c r="B6" i="3"/>
  <c r="D6" i="20"/>
  <c r="D7" i="20"/>
  <c r="D8" i="20"/>
  <c r="D9" i="20"/>
  <c r="D10" i="20"/>
  <c r="D18" i="20"/>
  <c r="D19" i="20"/>
  <c r="D20" i="20"/>
  <c r="D21" i="20"/>
  <c r="D4" i="20"/>
  <c r="D5" i="4"/>
  <c r="D6" i="4"/>
  <c r="D7" i="4"/>
  <c r="D8" i="4"/>
  <c r="D9" i="4"/>
  <c r="D10" i="4"/>
  <c r="D11" i="4"/>
  <c r="D17" i="4"/>
  <c r="D18" i="4"/>
  <c r="D19" i="4"/>
  <c r="D20" i="4"/>
  <c r="D4" i="4"/>
  <c r="B17" i="1"/>
  <c r="F260" i="25"/>
  <c r="E260" i="25"/>
  <c r="D260" i="25"/>
  <c r="C260" i="25"/>
  <c r="B260" i="25"/>
  <c r="G250" i="25"/>
  <c r="F250" i="25"/>
  <c r="E250" i="25"/>
  <c r="D250" i="25"/>
  <c r="C250" i="25"/>
  <c r="A250" i="25"/>
  <c r="F221" i="25"/>
  <c r="E221" i="25"/>
  <c r="D221" i="25"/>
  <c r="C221" i="25"/>
  <c r="B221" i="25"/>
  <c r="F217" i="25"/>
  <c r="E217" i="25"/>
  <c r="D217" i="25"/>
  <c r="C217" i="25"/>
  <c r="B217" i="25"/>
  <c r="A217" i="25"/>
  <c r="G197" i="25"/>
  <c r="A197" i="25"/>
  <c r="D5" i="1" l="1"/>
  <c r="D11" i="1"/>
  <c r="C17" i="1"/>
  <c r="D17" i="1"/>
  <c r="C11" i="1"/>
  <c r="B111" i="25"/>
  <c r="C13" i="21"/>
  <c r="B406" i="25" s="1"/>
  <c r="B203" i="25"/>
  <c r="F48" i="2"/>
  <c r="D20" i="22"/>
  <c r="D20" i="3"/>
  <c r="D31" i="3"/>
  <c r="D31" i="22"/>
  <c r="F20" i="3"/>
  <c r="F20" i="22"/>
  <c r="A31" i="24"/>
  <c r="G329" i="25" s="1"/>
  <c r="A30" i="24"/>
  <c r="G328" i="25" s="1"/>
  <c r="A29" i="24"/>
  <c r="G327" i="25" s="1"/>
  <c r="A28" i="24"/>
  <c r="G326" i="25" s="1"/>
  <c r="A27" i="24"/>
  <c r="G325" i="25" s="1"/>
  <c r="A26" i="24"/>
  <c r="G324" i="25" s="1"/>
  <c r="A25" i="24"/>
  <c r="G323" i="25" s="1"/>
  <c r="A24" i="24"/>
  <c r="G322" i="25" s="1"/>
  <c r="A23" i="24"/>
  <c r="G321" i="25" s="1"/>
  <c r="A22" i="24"/>
  <c r="G320" i="25" s="1"/>
  <c r="A21" i="24"/>
  <c r="G319" i="25" s="1"/>
  <c r="A20" i="24"/>
  <c r="G318" i="25" s="1"/>
  <c r="A16" i="24"/>
  <c r="A15" i="24"/>
  <c r="A14" i="24"/>
  <c r="A13" i="24"/>
  <c r="A12" i="24"/>
  <c r="A11" i="24"/>
  <c r="A10" i="24"/>
  <c r="A9" i="24"/>
  <c r="A7" i="24"/>
  <c r="A6" i="24"/>
  <c r="A5" i="24"/>
  <c r="A4" i="24"/>
  <c r="C5" i="15"/>
  <c r="C6" i="15"/>
  <c r="C7" i="15"/>
  <c r="C8" i="15"/>
  <c r="C9" i="15"/>
  <c r="C10" i="15"/>
  <c r="C11" i="15"/>
  <c r="C12" i="15"/>
  <c r="C13" i="15"/>
  <c r="C14" i="15"/>
  <c r="C4" i="15"/>
  <c r="C5" i="14"/>
  <c r="C6" i="14"/>
  <c r="C7" i="14"/>
  <c r="C8" i="14"/>
  <c r="C9" i="14"/>
  <c r="C10" i="14"/>
  <c r="C11" i="14"/>
  <c r="C12" i="14"/>
  <c r="C13" i="14"/>
  <c r="C14" i="14"/>
  <c r="C4" i="14"/>
  <c r="C29" i="17"/>
  <c r="C8" i="17"/>
  <c r="C9" i="17"/>
  <c r="C10" i="17"/>
  <c r="C11" i="17"/>
  <c r="C12" i="17"/>
  <c r="C13" i="17"/>
  <c r="C25" i="17"/>
  <c r="C26" i="17"/>
  <c r="C27" i="17"/>
  <c r="C28" i="17"/>
  <c r="C4" i="17"/>
  <c r="C9" i="13"/>
  <c r="C10" i="13"/>
  <c r="C11" i="13"/>
  <c r="C5" i="13"/>
  <c r="C9" i="12"/>
  <c r="C10" i="12"/>
  <c r="C11" i="12"/>
  <c r="C5" i="12"/>
  <c r="G303" i="25" l="1"/>
  <c r="E5" i="24"/>
  <c r="D5" i="24"/>
  <c r="C5" i="24"/>
  <c r="G309" i="25"/>
  <c r="C11" i="24"/>
  <c r="D11" i="24"/>
  <c r="E11" i="24"/>
  <c r="G311" i="25"/>
  <c r="D13" i="24"/>
  <c r="E13" i="24"/>
  <c r="C13" i="24"/>
  <c r="G312" i="25"/>
  <c r="C14" i="24"/>
  <c r="D14" i="24"/>
  <c r="E14" i="24"/>
  <c r="G305" i="25"/>
  <c r="C7" i="24"/>
  <c r="D7" i="24"/>
  <c r="E7" i="24"/>
  <c r="G307" i="25"/>
  <c r="E9" i="24"/>
  <c r="D9" i="24"/>
  <c r="C9" i="24"/>
  <c r="G310" i="25"/>
  <c r="C12" i="24"/>
  <c r="D12" i="24"/>
  <c r="E12" i="24"/>
  <c r="G302" i="25"/>
  <c r="D4" i="24"/>
  <c r="E4" i="24"/>
  <c r="C4" i="24"/>
  <c r="G304" i="25"/>
  <c r="C6" i="24"/>
  <c r="D6" i="24"/>
  <c r="E6" i="24"/>
  <c r="G313" i="25"/>
  <c r="D15" i="24"/>
  <c r="E15" i="24"/>
  <c r="C15" i="24"/>
  <c r="G314" i="25"/>
  <c r="C16" i="24"/>
  <c r="D16" i="24"/>
  <c r="E16" i="24"/>
  <c r="G308" i="25"/>
  <c r="D10" i="24"/>
  <c r="E10" i="24"/>
  <c r="C10" i="24"/>
  <c r="E13" i="21"/>
  <c r="D406" i="25" s="1"/>
  <c r="D111" i="25"/>
  <c r="B26" i="22"/>
  <c r="C112" i="25"/>
  <c r="B23" i="2"/>
  <c r="D13" i="21"/>
  <c r="C406" i="25" s="1"/>
  <c r="C111" i="25"/>
  <c r="B15" i="22"/>
  <c r="D112" i="25"/>
  <c r="D115" i="25" s="1"/>
  <c r="B42" i="2"/>
  <c r="D116" i="25"/>
  <c r="D119" i="25" s="1"/>
  <c r="B26" i="3"/>
  <c r="B204" i="25"/>
  <c r="G111" i="25" l="1"/>
  <c r="C115" i="25"/>
  <c r="D110" i="25"/>
  <c r="A41" i="23"/>
  <c r="B41" i="23"/>
  <c r="A196" i="25" s="1"/>
  <c r="C41" i="23"/>
  <c r="D41" i="23"/>
  <c r="F196" i="25" s="1"/>
  <c r="A40" i="23"/>
  <c r="B40" i="23"/>
  <c r="A195" i="25" s="1"/>
  <c r="C40" i="23"/>
  <c r="D40" i="23"/>
  <c r="F195" i="25" s="1"/>
  <c r="A38" i="23"/>
  <c r="B38" i="23"/>
  <c r="A193" i="25" s="1"/>
  <c r="C38" i="23"/>
  <c r="D38" i="23"/>
  <c r="F193" i="25" s="1"/>
  <c r="A39" i="23"/>
  <c r="B39" i="23"/>
  <c r="A194" i="25" s="1"/>
  <c r="C39" i="23"/>
  <c r="D39" i="23"/>
  <c r="F194" i="25" s="1"/>
  <c r="A9" i="23"/>
  <c r="B9" i="23"/>
  <c r="A175" i="25" s="1"/>
  <c r="C9" i="23"/>
  <c r="D9" i="23"/>
  <c r="F175" i="25" s="1"/>
  <c r="A10" i="23"/>
  <c r="B10" i="23"/>
  <c r="A176" i="25" s="1"/>
  <c r="C10" i="23"/>
  <c r="D10" i="23"/>
  <c r="F176" i="25" s="1"/>
  <c r="A11" i="23"/>
  <c r="B11" i="23"/>
  <c r="A177" i="25" s="1"/>
  <c r="C11" i="23"/>
  <c r="D11" i="23"/>
  <c r="F177" i="25" s="1"/>
  <c r="A12" i="23"/>
  <c r="B12" i="23"/>
  <c r="A178" i="25" s="1"/>
  <c r="C12" i="23"/>
  <c r="D12" i="23"/>
  <c r="F178" i="25" s="1"/>
  <c r="A13" i="23"/>
  <c r="B13" i="23"/>
  <c r="A179" i="25" s="1"/>
  <c r="C13" i="23"/>
  <c r="D13" i="23"/>
  <c r="F179" i="25" s="1"/>
  <c r="A14" i="23"/>
  <c r="B14" i="23"/>
  <c r="A180" i="25" s="1"/>
  <c r="C14" i="23"/>
  <c r="D14" i="23"/>
  <c r="F180" i="25" s="1"/>
  <c r="A26" i="23"/>
  <c r="B26" i="23"/>
  <c r="A181" i="25" s="1"/>
  <c r="C26" i="23"/>
  <c r="D26" i="23"/>
  <c r="F181" i="25" s="1"/>
  <c r="A27" i="23"/>
  <c r="B27" i="23"/>
  <c r="A182" i="25" s="1"/>
  <c r="C27" i="23"/>
  <c r="D27" i="23"/>
  <c r="F182" i="25" s="1"/>
  <c r="A28" i="23"/>
  <c r="B28" i="23"/>
  <c r="A183" i="25" s="1"/>
  <c r="C28" i="23"/>
  <c r="D28" i="23"/>
  <c r="F183" i="25" s="1"/>
  <c r="A29" i="23"/>
  <c r="B29" i="23"/>
  <c r="A184" i="25" s="1"/>
  <c r="C29" i="23"/>
  <c r="D29" i="23"/>
  <c r="F184" i="25" s="1"/>
  <c r="A30" i="23"/>
  <c r="B30" i="23"/>
  <c r="A185" i="25" s="1"/>
  <c r="C30" i="23"/>
  <c r="D30" i="23"/>
  <c r="F185" i="25" s="1"/>
  <c r="A31" i="23"/>
  <c r="B31" i="23"/>
  <c r="A186" i="25" s="1"/>
  <c r="C31" i="23"/>
  <c r="D31" i="23"/>
  <c r="F186" i="25" s="1"/>
  <c r="A32" i="23"/>
  <c r="B32" i="23"/>
  <c r="A187" i="25" s="1"/>
  <c r="C32" i="23"/>
  <c r="D32" i="23"/>
  <c r="F187" i="25" s="1"/>
  <c r="A33" i="23"/>
  <c r="B33" i="23"/>
  <c r="A188" i="25" s="1"/>
  <c r="C33" i="23"/>
  <c r="D33" i="23"/>
  <c r="F188" i="25" s="1"/>
  <c r="A34" i="23"/>
  <c r="B34" i="23"/>
  <c r="A189" i="25" s="1"/>
  <c r="C34" i="23"/>
  <c r="D34" i="23"/>
  <c r="F189" i="25" s="1"/>
  <c r="A35" i="23"/>
  <c r="B35" i="23"/>
  <c r="A190" i="25" s="1"/>
  <c r="C35" i="23"/>
  <c r="D35" i="23"/>
  <c r="F190" i="25" s="1"/>
  <c r="A36" i="23"/>
  <c r="B36" i="23"/>
  <c r="A191" i="25" s="1"/>
  <c r="C36" i="23"/>
  <c r="D36" i="23"/>
  <c r="F191" i="25" s="1"/>
  <c r="A37" i="23"/>
  <c r="B37" i="23"/>
  <c r="A192" i="25" s="1"/>
  <c r="C37" i="23"/>
  <c r="D37" i="23"/>
  <c r="F192" i="25" s="1"/>
  <c r="B4" i="23"/>
  <c r="A174" i="25" s="1"/>
  <c r="C4" i="23"/>
  <c r="D4" i="23"/>
  <c r="F174" i="25" s="1"/>
  <c r="A4" i="23"/>
  <c r="E5" i="13"/>
  <c r="F5" i="13"/>
  <c r="G5" i="13"/>
  <c r="H5" i="13"/>
  <c r="I5" i="13"/>
  <c r="J5" i="13"/>
  <c r="K5" i="13"/>
  <c r="L5" i="13"/>
  <c r="M5" i="13"/>
  <c r="N5" i="13"/>
  <c r="O5" i="13"/>
  <c r="D5" i="13"/>
  <c r="P14" i="15"/>
  <c r="B7" i="2"/>
  <c r="A35" i="8"/>
  <c r="A331" i="25" s="1"/>
  <c r="A34" i="8"/>
  <c r="A330" i="25" s="1"/>
  <c r="A33" i="8"/>
  <c r="A329" i="25" s="1"/>
  <c r="A14" i="8"/>
  <c r="A310" i="25" s="1"/>
  <c r="A15" i="8"/>
  <c r="A311" i="25" s="1"/>
  <c r="A16" i="8"/>
  <c r="A312" i="25" s="1"/>
  <c r="A17" i="8"/>
  <c r="A313" i="25" s="1"/>
  <c r="A18" i="8"/>
  <c r="A314" i="25" s="1"/>
  <c r="A19" i="8"/>
  <c r="A315" i="25" s="1"/>
  <c r="A20" i="8"/>
  <c r="A316" i="25" s="1"/>
  <c r="A13" i="8"/>
  <c r="A309" i="25" s="1"/>
  <c r="A25" i="8"/>
  <c r="A321" i="25" s="1"/>
  <c r="A26" i="8"/>
  <c r="A322" i="25" s="1"/>
  <c r="A27" i="8"/>
  <c r="A323" i="25" s="1"/>
  <c r="A28" i="8"/>
  <c r="A324" i="25" s="1"/>
  <c r="A29" i="8"/>
  <c r="A325" i="25" s="1"/>
  <c r="A30" i="8"/>
  <c r="A326" i="25" s="1"/>
  <c r="A31" i="8"/>
  <c r="A327" i="25" s="1"/>
  <c r="A32" i="8"/>
  <c r="A328" i="25" s="1"/>
  <c r="A24" i="8"/>
  <c r="A320" i="25" s="1"/>
  <c r="A8" i="8"/>
  <c r="A304" i="25" s="1"/>
  <c r="A9" i="8"/>
  <c r="A305" i="25" s="1"/>
  <c r="A10" i="8"/>
  <c r="A306" i="25" s="1"/>
  <c r="A7" i="8"/>
  <c r="A303" i="25" s="1"/>
  <c r="B5" i="22"/>
  <c r="B4" i="22"/>
  <c r="B7" i="22"/>
  <c r="G37" i="23" l="1"/>
  <c r="G192" i="25" s="1"/>
  <c r="G35" i="23"/>
  <c r="G190" i="25" s="1"/>
  <c r="G33" i="23"/>
  <c r="G188" i="25" s="1"/>
  <c r="G31" i="23"/>
  <c r="G186" i="25" s="1"/>
  <c r="G29" i="23"/>
  <c r="G184" i="25" s="1"/>
  <c r="G27" i="23"/>
  <c r="G182" i="25" s="1"/>
  <c r="G14" i="23"/>
  <c r="G180" i="25" s="1"/>
  <c r="G12" i="23"/>
  <c r="G178" i="25" s="1"/>
  <c r="G10" i="23"/>
  <c r="G176" i="25" s="1"/>
  <c r="G39" i="23"/>
  <c r="G194" i="25" s="1"/>
  <c r="G40" i="23"/>
  <c r="G195" i="25" s="1"/>
  <c r="G41" i="23"/>
  <c r="G196" i="25" s="1"/>
  <c r="G32" i="23"/>
  <c r="G187" i="25" s="1"/>
  <c r="F173" i="25"/>
  <c r="G34" i="23"/>
  <c r="G189" i="25" s="1"/>
  <c r="G28" i="23"/>
  <c r="G183" i="25" s="1"/>
  <c r="G13" i="23"/>
  <c r="G179" i="25" s="1"/>
  <c r="G9" i="23"/>
  <c r="G175" i="25" s="1"/>
  <c r="G36" i="23"/>
  <c r="G191" i="25" s="1"/>
  <c r="G30" i="23"/>
  <c r="G185" i="25" s="1"/>
  <c r="G26" i="23"/>
  <c r="G181" i="25" s="1"/>
  <c r="G11" i="23"/>
  <c r="G177" i="25" s="1"/>
  <c r="G38" i="23"/>
  <c r="G193" i="25" s="1"/>
  <c r="G4" i="23"/>
  <c r="B266" i="25"/>
  <c r="C249" i="25"/>
  <c r="B9" i="22"/>
  <c r="F9" i="22" s="1"/>
  <c r="B206" i="25"/>
  <c r="B207" i="25"/>
  <c r="C20" i="22"/>
  <c r="E20" i="22" s="1"/>
  <c r="B21" i="22" s="1"/>
  <c r="C31" i="22"/>
  <c r="E31" i="22" s="1"/>
  <c r="B32" i="22" s="1"/>
  <c r="C202" i="25" l="1"/>
  <c r="D202" i="25" s="1"/>
  <c r="G174" i="25"/>
  <c r="G173" i="25" s="1"/>
  <c r="G42" i="23"/>
  <c r="B11" i="1"/>
  <c r="B112" i="25" s="1"/>
  <c r="C5" i="1"/>
  <c r="C9" i="22"/>
  <c r="E9" i="22" s="1"/>
  <c r="D9" i="22"/>
  <c r="B208" i="25"/>
  <c r="F32" i="22"/>
  <c r="D32" i="22"/>
  <c r="C32" i="22"/>
  <c r="C21" i="22"/>
  <c r="F21" i="22"/>
  <c r="D21" i="22"/>
  <c r="C116" i="25" l="1"/>
  <c r="B15" i="3"/>
  <c r="D280" i="25"/>
  <c r="B115" i="25"/>
  <c r="G115" i="25" s="1"/>
  <c r="G112" i="25"/>
  <c r="E21" i="22"/>
  <c r="B22" i="22" s="1"/>
  <c r="E32" i="22"/>
  <c r="B33" i="22" s="1"/>
  <c r="B10" i="22"/>
  <c r="C119" i="25" l="1"/>
  <c r="C110" i="25"/>
  <c r="C33" i="22"/>
  <c r="D33" i="22"/>
  <c r="F33" i="22"/>
  <c r="F22" i="22"/>
  <c r="D22" i="22"/>
  <c r="C22" i="22"/>
  <c r="D10" i="22"/>
  <c r="F10" i="22"/>
  <c r="C10" i="22"/>
  <c r="E33" i="22" l="1"/>
  <c r="B34" i="22" s="1"/>
  <c r="D34" i="22" s="1"/>
  <c r="E22" i="22"/>
  <c r="B23" i="22" s="1"/>
  <c r="E10" i="22"/>
  <c r="C34" i="22" l="1"/>
  <c r="F34" i="22"/>
  <c r="C23" i="22"/>
  <c r="D23" i="22"/>
  <c r="F23" i="22"/>
  <c r="B11" i="22"/>
  <c r="E34" i="22" l="1"/>
  <c r="B35" i="22" s="1"/>
  <c r="D35" i="22" s="1"/>
  <c r="E23" i="22"/>
  <c r="B24" i="22" s="1"/>
  <c r="F24" i="22" s="1"/>
  <c r="F11" i="22"/>
  <c r="C11" i="22"/>
  <c r="D11" i="22"/>
  <c r="F35" i="22" l="1"/>
  <c r="C35" i="22"/>
  <c r="C24" i="22"/>
  <c r="E24" i="22" s="1"/>
  <c r="D24" i="22"/>
  <c r="E11" i="22"/>
  <c r="E35" i="22" l="1"/>
  <c r="B12" i="22"/>
  <c r="F12" i="22" l="1"/>
  <c r="C12" i="22"/>
  <c r="D12" i="22"/>
  <c r="E12" i="22" l="1"/>
  <c r="B13" i="22" s="1"/>
  <c r="F13" i="22" s="1"/>
  <c r="D13" i="22" l="1"/>
  <c r="C13" i="22"/>
  <c r="E13" i="22" s="1"/>
  <c r="B14" i="15" l="1"/>
  <c r="B13" i="15"/>
  <c r="A248" i="25" s="1"/>
  <c r="B12" i="15"/>
  <c r="A247" i="25" s="1"/>
  <c r="B11" i="15"/>
  <c r="A246" i="25" s="1"/>
  <c r="B10" i="15"/>
  <c r="A245" i="25" s="1"/>
  <c r="B9" i="15"/>
  <c r="A244" i="25" s="1"/>
  <c r="B8" i="15"/>
  <c r="A243" i="25" s="1"/>
  <c r="B7" i="15"/>
  <c r="A242" i="25" s="1"/>
  <c r="B6" i="15"/>
  <c r="A241" i="25" s="1"/>
  <c r="B5" i="15"/>
  <c r="A240" i="25" s="1"/>
  <c r="B4" i="15"/>
  <c r="A239" i="25" s="1"/>
  <c r="A14" i="15"/>
  <c r="A5" i="15"/>
  <c r="A6" i="15"/>
  <c r="A7" i="15"/>
  <c r="A8" i="15"/>
  <c r="A9" i="15"/>
  <c r="A10" i="15"/>
  <c r="A11" i="15"/>
  <c r="A12" i="15"/>
  <c r="A13" i="15"/>
  <c r="A4" i="15"/>
  <c r="B26" i="17"/>
  <c r="A235" i="25" s="1"/>
  <c r="B27" i="17"/>
  <c r="A236" i="25" s="1"/>
  <c r="B28" i="17"/>
  <c r="A237" i="25" s="1"/>
  <c r="B29" i="17"/>
  <c r="A29" i="17"/>
  <c r="A26" i="17"/>
  <c r="A27" i="17"/>
  <c r="A28" i="17"/>
  <c r="A8" i="17"/>
  <c r="B8" i="17"/>
  <c r="A228" i="25" s="1"/>
  <c r="A9" i="17"/>
  <c r="B9" i="17"/>
  <c r="A229" i="25" s="1"/>
  <c r="A10" i="17"/>
  <c r="B10" i="17"/>
  <c r="A230" i="25" s="1"/>
  <c r="A11" i="17"/>
  <c r="B11" i="17"/>
  <c r="A231" i="25" s="1"/>
  <c r="A12" i="17"/>
  <c r="B12" i="17"/>
  <c r="A232" i="25" s="1"/>
  <c r="A13" i="17"/>
  <c r="B13" i="17"/>
  <c r="A233" i="25" s="1"/>
  <c r="A25" i="17"/>
  <c r="B25" i="17"/>
  <c r="A234" i="25" s="1"/>
  <c r="B4" i="17"/>
  <c r="A227" i="25" s="1"/>
  <c r="A4" i="17"/>
  <c r="A9" i="13"/>
  <c r="B9" i="13"/>
  <c r="A214" i="25" s="1"/>
  <c r="A10" i="13"/>
  <c r="B10" i="13"/>
  <c r="A215" i="25" s="1"/>
  <c r="A11" i="13"/>
  <c r="B11" i="13"/>
  <c r="A216" i="25" s="1"/>
  <c r="B5" i="13"/>
  <c r="A213" i="25" s="1"/>
  <c r="A221" i="25" s="1"/>
  <c r="A5" i="13"/>
  <c r="A9" i="12"/>
  <c r="B9" i="12"/>
  <c r="A10" i="12"/>
  <c r="B10" i="12"/>
  <c r="A11" i="12"/>
  <c r="B11" i="12"/>
  <c r="B5" i="12"/>
  <c r="A5" i="12"/>
  <c r="C4" i="4"/>
  <c r="C5" i="4"/>
  <c r="C6" i="4"/>
  <c r="C7" i="4"/>
  <c r="C8" i="4"/>
  <c r="C9" i="4"/>
  <c r="C10" i="4"/>
  <c r="C11" i="4"/>
  <c r="C17" i="4"/>
  <c r="C18" i="4"/>
  <c r="C19" i="4"/>
  <c r="C20" i="4"/>
  <c r="C4" i="20"/>
  <c r="A135" i="25" s="1"/>
  <c r="C6" i="20"/>
  <c r="A136" i="25" s="1"/>
  <c r="C7" i="20"/>
  <c r="A137" i="25" s="1"/>
  <c r="C8" i="20"/>
  <c r="A138" i="25" s="1"/>
  <c r="C9" i="20"/>
  <c r="A139" i="25" s="1"/>
  <c r="C10" i="20"/>
  <c r="A140" i="25" s="1"/>
  <c r="A141" i="25"/>
  <c r="A142" i="25"/>
  <c r="A143" i="25"/>
  <c r="A144" i="25"/>
  <c r="A145" i="25"/>
  <c r="A146" i="25"/>
  <c r="C18" i="20"/>
  <c r="A147" i="25" s="1"/>
  <c r="C19" i="20"/>
  <c r="A148" i="25" s="1"/>
  <c r="C20" i="20"/>
  <c r="A149" i="25" s="1"/>
  <c r="C21" i="20"/>
  <c r="A150" i="25" s="1"/>
  <c r="A6" i="20"/>
  <c r="B6" i="20"/>
  <c r="A7" i="20"/>
  <c r="B7" i="20"/>
  <c r="A8" i="20"/>
  <c r="B8" i="20"/>
  <c r="A9" i="20"/>
  <c r="B9" i="20"/>
  <c r="A10" i="20"/>
  <c r="B10" i="20"/>
  <c r="A11" i="20"/>
  <c r="B11" i="20"/>
  <c r="A12" i="20"/>
  <c r="B12" i="20"/>
  <c r="A13" i="20"/>
  <c r="B13" i="20"/>
  <c r="A15" i="20"/>
  <c r="B15" i="20"/>
  <c r="A16" i="20"/>
  <c r="B16" i="20"/>
  <c r="A17" i="20"/>
  <c r="B17" i="20"/>
  <c r="A18" i="20"/>
  <c r="B18" i="20"/>
  <c r="A19" i="20"/>
  <c r="B19" i="20"/>
  <c r="A20" i="20"/>
  <c r="B20" i="20"/>
  <c r="A21" i="20"/>
  <c r="B21" i="20"/>
  <c r="B4" i="20"/>
  <c r="A4" i="20"/>
  <c r="A5" i="4"/>
  <c r="B5" i="4"/>
  <c r="A6" i="4"/>
  <c r="B6" i="4"/>
  <c r="A7" i="4"/>
  <c r="B7" i="4"/>
  <c r="A8" i="4"/>
  <c r="B8" i="4"/>
  <c r="A9" i="4"/>
  <c r="B9" i="4"/>
  <c r="A10" i="4"/>
  <c r="B10" i="4"/>
  <c r="A11" i="4"/>
  <c r="B11" i="4"/>
  <c r="A12" i="4"/>
  <c r="B12" i="4"/>
  <c r="A13" i="4"/>
  <c r="B13" i="4"/>
  <c r="A14" i="4"/>
  <c r="B14" i="4"/>
  <c r="A16" i="4"/>
  <c r="B16" i="4"/>
  <c r="A17" i="4"/>
  <c r="B17" i="4"/>
  <c r="A18" i="4"/>
  <c r="B18" i="4"/>
  <c r="A19" i="4"/>
  <c r="B19" i="4"/>
  <c r="A20" i="4"/>
  <c r="B20" i="4"/>
  <c r="B4" i="4"/>
  <c r="A4" i="4"/>
  <c r="C7" i="10"/>
  <c r="C6" i="10"/>
  <c r="A265" i="25" l="1"/>
  <c r="A238" i="25"/>
  <c r="A266" i="25"/>
  <c r="A249" i="25"/>
  <c r="S21" i="20"/>
  <c r="F150" i="25" s="1"/>
  <c r="S20" i="20"/>
  <c r="F149" i="25" s="1"/>
  <c r="S19" i="20"/>
  <c r="F148" i="25" s="1"/>
  <c r="S18" i="20"/>
  <c r="F147" i="25" s="1"/>
  <c r="F146" i="25"/>
  <c r="F145" i="25"/>
  <c r="F144" i="25"/>
  <c r="F143" i="25"/>
  <c r="F142" i="25"/>
  <c r="F141" i="25"/>
  <c r="S10" i="20"/>
  <c r="F140" i="25" s="1"/>
  <c r="S9" i="20"/>
  <c r="F139" i="25" s="1"/>
  <c r="S8" i="20"/>
  <c r="F138" i="25" s="1"/>
  <c r="S7" i="20"/>
  <c r="F137" i="25" s="1"/>
  <c r="S6" i="20"/>
  <c r="F136" i="25" s="1"/>
  <c r="S4" i="20"/>
  <c r="F135" i="25" s="1"/>
  <c r="R21" i="20"/>
  <c r="R20" i="20"/>
  <c r="R19" i="20"/>
  <c r="R18" i="20"/>
  <c r="R10" i="20"/>
  <c r="R9" i="20"/>
  <c r="R8" i="20"/>
  <c r="R7" i="20"/>
  <c r="R6" i="20"/>
  <c r="R4" i="20"/>
  <c r="F4" i="20"/>
  <c r="G4" i="20"/>
  <c r="H4" i="20"/>
  <c r="I4" i="20"/>
  <c r="J4" i="20"/>
  <c r="K4" i="20"/>
  <c r="L4" i="20"/>
  <c r="M4" i="20"/>
  <c r="N4" i="20"/>
  <c r="O4" i="20"/>
  <c r="P4" i="20"/>
  <c r="F6" i="20"/>
  <c r="G6" i="20"/>
  <c r="H6" i="20"/>
  <c r="I6" i="20"/>
  <c r="J6" i="20"/>
  <c r="K6" i="20"/>
  <c r="L6" i="20"/>
  <c r="M6" i="20"/>
  <c r="N6" i="20"/>
  <c r="O6" i="20"/>
  <c r="P6" i="20"/>
  <c r="F7" i="20"/>
  <c r="G7" i="20"/>
  <c r="H7" i="20"/>
  <c r="I7" i="20"/>
  <c r="J7" i="20"/>
  <c r="K7" i="20"/>
  <c r="L7" i="20"/>
  <c r="M7" i="20"/>
  <c r="N7" i="20"/>
  <c r="O7" i="20"/>
  <c r="P7" i="20"/>
  <c r="F8" i="20"/>
  <c r="G8" i="20"/>
  <c r="H8" i="20"/>
  <c r="I8" i="20"/>
  <c r="J8" i="20"/>
  <c r="K8" i="20"/>
  <c r="L8" i="20"/>
  <c r="M8" i="20"/>
  <c r="N8" i="20"/>
  <c r="O8" i="20"/>
  <c r="P8" i="20"/>
  <c r="F9" i="20"/>
  <c r="G9" i="20"/>
  <c r="H9" i="20"/>
  <c r="I9" i="20"/>
  <c r="J9" i="20"/>
  <c r="K9" i="20"/>
  <c r="L9" i="20"/>
  <c r="M9" i="20"/>
  <c r="N9" i="20"/>
  <c r="O9" i="20"/>
  <c r="P9" i="20"/>
  <c r="F10" i="20"/>
  <c r="G10" i="20"/>
  <c r="H10" i="20"/>
  <c r="I10" i="20"/>
  <c r="J10" i="20"/>
  <c r="K10" i="20"/>
  <c r="L10" i="20"/>
  <c r="M10" i="20"/>
  <c r="N10" i="20"/>
  <c r="O10" i="20"/>
  <c r="P10" i="20"/>
  <c r="F18" i="20"/>
  <c r="G18" i="20"/>
  <c r="H18" i="20"/>
  <c r="I18" i="20"/>
  <c r="J18" i="20"/>
  <c r="K18" i="20"/>
  <c r="L18" i="20"/>
  <c r="M18" i="20"/>
  <c r="N18" i="20"/>
  <c r="O18" i="20"/>
  <c r="P18" i="20"/>
  <c r="F19" i="20"/>
  <c r="G19" i="20"/>
  <c r="H19" i="20"/>
  <c r="I19" i="20"/>
  <c r="J19" i="20"/>
  <c r="K19" i="20"/>
  <c r="L19" i="20"/>
  <c r="M19" i="20"/>
  <c r="N19" i="20"/>
  <c r="O19" i="20"/>
  <c r="P19" i="20"/>
  <c r="F20" i="20"/>
  <c r="G20" i="20"/>
  <c r="H20" i="20"/>
  <c r="I20" i="20"/>
  <c r="J20" i="20"/>
  <c r="K20" i="20"/>
  <c r="L20" i="20"/>
  <c r="M20" i="20"/>
  <c r="N20" i="20"/>
  <c r="O20" i="20"/>
  <c r="P20" i="20"/>
  <c r="F21" i="20"/>
  <c r="G21" i="20"/>
  <c r="H21" i="20"/>
  <c r="I21" i="20"/>
  <c r="J21" i="20"/>
  <c r="K21" i="20"/>
  <c r="L21" i="20"/>
  <c r="M21" i="20"/>
  <c r="N21" i="20"/>
  <c r="O21" i="20"/>
  <c r="P21" i="20"/>
  <c r="E6" i="20"/>
  <c r="E7" i="20"/>
  <c r="E8" i="20"/>
  <c r="E9" i="20"/>
  <c r="E10" i="20"/>
  <c r="E18" i="20"/>
  <c r="E19" i="20"/>
  <c r="E20" i="20"/>
  <c r="E21" i="20"/>
  <c r="E4" i="20"/>
  <c r="F21" i="4"/>
  <c r="G21" i="4"/>
  <c r="H21" i="4"/>
  <c r="I21" i="4"/>
  <c r="J21" i="4"/>
  <c r="K21" i="4"/>
  <c r="L21" i="4"/>
  <c r="M21" i="4"/>
  <c r="N21" i="4"/>
  <c r="O21" i="4"/>
  <c r="P21" i="4"/>
  <c r="R21" i="4"/>
  <c r="S21" i="4"/>
  <c r="E21" i="4"/>
  <c r="Q9" i="20" l="1"/>
  <c r="E139" i="25" s="1"/>
  <c r="Q7" i="20"/>
  <c r="E137" i="25" s="1"/>
  <c r="Q8" i="20"/>
  <c r="E138" i="25" s="1"/>
  <c r="Q21" i="20"/>
  <c r="E150" i="25" s="1"/>
  <c r="E142" i="25"/>
  <c r="O22" i="20"/>
  <c r="G22" i="20"/>
  <c r="H22" i="20"/>
  <c r="N22" i="20"/>
  <c r="F22" i="20"/>
  <c r="E14" i="15" s="1"/>
  <c r="P22" i="20"/>
  <c r="O14" i="15" s="1"/>
  <c r="E22" i="20"/>
  <c r="D14" i="15" s="1"/>
  <c r="Q6" i="20"/>
  <c r="E136" i="25" s="1"/>
  <c r="M22" i="20"/>
  <c r="R22" i="20"/>
  <c r="Q14" i="15" s="1"/>
  <c r="S22" i="20"/>
  <c r="L22" i="20"/>
  <c r="E145" i="25"/>
  <c r="E141" i="25"/>
  <c r="K22" i="20"/>
  <c r="I22" i="20"/>
  <c r="E146" i="25"/>
  <c r="E143" i="25"/>
  <c r="Q10" i="20"/>
  <c r="E140" i="25" s="1"/>
  <c r="J22" i="20"/>
  <c r="Q18" i="20"/>
  <c r="E147" i="25" s="1"/>
  <c r="E144" i="25"/>
  <c r="Q19" i="20"/>
  <c r="E148" i="25" s="1"/>
  <c r="Q20" i="20"/>
  <c r="E149" i="25" s="1"/>
  <c r="Q4" i="20"/>
  <c r="C266" i="25" l="1"/>
  <c r="D249" i="25"/>
  <c r="B5" i="1"/>
  <c r="B116" i="25" s="1"/>
  <c r="D270" i="25" s="1"/>
  <c r="E135" i="25"/>
  <c r="C203" i="25"/>
  <c r="R14" i="15"/>
  <c r="F11" i="7"/>
  <c r="G14" i="15"/>
  <c r="K11" i="7"/>
  <c r="L14" i="15"/>
  <c r="M11" i="7"/>
  <c r="N14" i="15"/>
  <c r="E11" i="7"/>
  <c r="F14" i="15"/>
  <c r="G11" i="7"/>
  <c r="H14" i="15"/>
  <c r="I11" i="7"/>
  <c r="J14" i="15"/>
  <c r="H11" i="7"/>
  <c r="I14" i="15"/>
  <c r="J11" i="7"/>
  <c r="K14" i="15"/>
  <c r="L11" i="7"/>
  <c r="M14" i="15"/>
  <c r="C11" i="9"/>
  <c r="B377" i="25" s="1"/>
  <c r="C11" i="7"/>
  <c r="E11" i="9"/>
  <c r="D377" i="25" s="1"/>
  <c r="N11" i="7"/>
  <c r="Q22" i="20"/>
  <c r="D11" i="9"/>
  <c r="C377" i="25" s="1"/>
  <c r="D11" i="7"/>
  <c r="Q5" i="4"/>
  <c r="Q6" i="4"/>
  <c r="Q7" i="4"/>
  <c r="Q8" i="4"/>
  <c r="Q9" i="4"/>
  <c r="Q10" i="4"/>
  <c r="Q11" i="4"/>
  <c r="Q12" i="4"/>
  <c r="Q13" i="4"/>
  <c r="Q14" i="4"/>
  <c r="Q16" i="4"/>
  <c r="Q17" i="4"/>
  <c r="Q18" i="4"/>
  <c r="Q19" i="4"/>
  <c r="Q20" i="4"/>
  <c r="Q4" i="4"/>
  <c r="E9" i="13"/>
  <c r="F9" i="13"/>
  <c r="G9" i="13"/>
  <c r="H9" i="13"/>
  <c r="I9" i="13"/>
  <c r="J9" i="13"/>
  <c r="K9" i="13"/>
  <c r="L9" i="13"/>
  <c r="M9" i="13"/>
  <c r="N9" i="13"/>
  <c r="E10" i="13"/>
  <c r="F10" i="13"/>
  <c r="G10" i="13"/>
  <c r="H10" i="13"/>
  <c r="I10" i="13"/>
  <c r="J10" i="13"/>
  <c r="K10" i="13"/>
  <c r="L10" i="13"/>
  <c r="M10" i="13"/>
  <c r="N10" i="13"/>
  <c r="E11" i="13"/>
  <c r="F11" i="13"/>
  <c r="G11" i="13"/>
  <c r="H11" i="13"/>
  <c r="I11" i="13"/>
  <c r="J11" i="13"/>
  <c r="K11" i="13"/>
  <c r="L11" i="13"/>
  <c r="M11" i="13"/>
  <c r="N11" i="13"/>
  <c r="D9" i="13"/>
  <c r="D10" i="13"/>
  <c r="D11" i="13"/>
  <c r="E4" i="17"/>
  <c r="F4" i="17"/>
  <c r="G4" i="17"/>
  <c r="H4" i="17"/>
  <c r="I4" i="17"/>
  <c r="J4" i="17"/>
  <c r="K4" i="17"/>
  <c r="L4" i="17"/>
  <c r="M4" i="17"/>
  <c r="N4" i="17"/>
  <c r="O4" i="17"/>
  <c r="E8" i="17"/>
  <c r="F8" i="17"/>
  <c r="G8" i="17"/>
  <c r="H8" i="17"/>
  <c r="I8" i="17"/>
  <c r="J8" i="17"/>
  <c r="K8" i="17"/>
  <c r="L8" i="17"/>
  <c r="M8" i="17"/>
  <c r="N8" i="17"/>
  <c r="O8" i="17"/>
  <c r="E9" i="17"/>
  <c r="F9" i="17"/>
  <c r="G9" i="17"/>
  <c r="H9" i="17"/>
  <c r="I9" i="17"/>
  <c r="J9" i="17"/>
  <c r="K9" i="17"/>
  <c r="L9" i="17"/>
  <c r="M9" i="17"/>
  <c r="N9" i="17"/>
  <c r="O9" i="17"/>
  <c r="E10" i="17"/>
  <c r="F10" i="17"/>
  <c r="G10" i="17"/>
  <c r="H10" i="17"/>
  <c r="I10" i="17"/>
  <c r="J10" i="17"/>
  <c r="K10" i="17"/>
  <c r="L10" i="17"/>
  <c r="M10" i="17"/>
  <c r="N10" i="17"/>
  <c r="O10" i="17"/>
  <c r="E11" i="17"/>
  <c r="F11" i="17"/>
  <c r="G11" i="17"/>
  <c r="H11" i="17"/>
  <c r="I11" i="17"/>
  <c r="J11" i="17"/>
  <c r="K11" i="17"/>
  <c r="L11" i="17"/>
  <c r="M11" i="17"/>
  <c r="N11" i="17"/>
  <c r="O11" i="17"/>
  <c r="E12" i="17"/>
  <c r="F12" i="17"/>
  <c r="G12" i="17"/>
  <c r="H12" i="17"/>
  <c r="I12" i="17"/>
  <c r="J12" i="17"/>
  <c r="K12" i="17"/>
  <c r="L12" i="17"/>
  <c r="M12" i="17"/>
  <c r="N12" i="17"/>
  <c r="O12" i="17"/>
  <c r="E13" i="17"/>
  <c r="F13" i="17"/>
  <c r="G13" i="17"/>
  <c r="H13" i="17"/>
  <c r="I13" i="17"/>
  <c r="J13" i="17"/>
  <c r="K13" i="17"/>
  <c r="L13" i="17"/>
  <c r="M13" i="17"/>
  <c r="N13" i="17"/>
  <c r="O13" i="17"/>
  <c r="E25" i="17"/>
  <c r="F25" i="17"/>
  <c r="G25" i="17"/>
  <c r="H25" i="17"/>
  <c r="I25" i="17"/>
  <c r="J25" i="17"/>
  <c r="K25" i="17"/>
  <c r="L25" i="17"/>
  <c r="M25" i="17"/>
  <c r="N25" i="17"/>
  <c r="O25" i="17"/>
  <c r="E12" i="12"/>
  <c r="F12" i="12"/>
  <c r="G12" i="12"/>
  <c r="H12" i="12"/>
  <c r="I12" i="12"/>
  <c r="J12" i="12"/>
  <c r="K12" i="12"/>
  <c r="L12" i="12"/>
  <c r="M12" i="12"/>
  <c r="N12" i="12"/>
  <c r="O12" i="12"/>
  <c r="P12" i="12"/>
  <c r="Q12" i="12"/>
  <c r="R12" i="12"/>
  <c r="D12" i="12"/>
  <c r="D25" i="17"/>
  <c r="D13" i="17"/>
  <c r="D12" i="17"/>
  <c r="D11" i="17"/>
  <c r="D10" i="17"/>
  <c r="D9" i="17"/>
  <c r="D8" i="17"/>
  <c r="D4" i="17"/>
  <c r="D5" i="15"/>
  <c r="E5" i="15"/>
  <c r="F5" i="15"/>
  <c r="G5" i="15"/>
  <c r="H5" i="15"/>
  <c r="I5" i="15"/>
  <c r="J5" i="15"/>
  <c r="K5" i="15"/>
  <c r="L5" i="15"/>
  <c r="M5" i="15"/>
  <c r="N5" i="15"/>
  <c r="O5" i="15"/>
  <c r="D6" i="15"/>
  <c r="E6" i="15"/>
  <c r="F6" i="15"/>
  <c r="G6" i="15"/>
  <c r="H6" i="15"/>
  <c r="I6" i="15"/>
  <c r="J6" i="15"/>
  <c r="K6" i="15"/>
  <c r="L6" i="15"/>
  <c r="M6" i="15"/>
  <c r="N6" i="15"/>
  <c r="O6" i="15"/>
  <c r="D7" i="15"/>
  <c r="E7" i="15"/>
  <c r="F7" i="15"/>
  <c r="G7" i="15"/>
  <c r="H7" i="15"/>
  <c r="I7" i="15"/>
  <c r="J7" i="15"/>
  <c r="K7" i="15"/>
  <c r="L7" i="15"/>
  <c r="M7" i="15"/>
  <c r="N7" i="15"/>
  <c r="O7" i="15"/>
  <c r="D8" i="15"/>
  <c r="E8" i="15"/>
  <c r="F8" i="15"/>
  <c r="G8" i="15"/>
  <c r="H8" i="15"/>
  <c r="I8" i="15"/>
  <c r="J8" i="15"/>
  <c r="K8" i="15"/>
  <c r="L8" i="15"/>
  <c r="M8" i="15"/>
  <c r="N8" i="15"/>
  <c r="O8" i="15"/>
  <c r="D9" i="15"/>
  <c r="E9" i="15"/>
  <c r="F9" i="15"/>
  <c r="G9" i="15"/>
  <c r="H9" i="15"/>
  <c r="I9" i="15"/>
  <c r="J9" i="15"/>
  <c r="K9" i="15"/>
  <c r="L9" i="15"/>
  <c r="M9" i="15"/>
  <c r="N9" i="15"/>
  <c r="O9" i="15"/>
  <c r="D10" i="15"/>
  <c r="E10" i="15"/>
  <c r="F10" i="15"/>
  <c r="G10" i="15"/>
  <c r="H10" i="15"/>
  <c r="I10" i="15"/>
  <c r="J10" i="15"/>
  <c r="K10" i="15"/>
  <c r="L10" i="15"/>
  <c r="M10" i="15"/>
  <c r="N10" i="15"/>
  <c r="O10" i="15"/>
  <c r="D11" i="15"/>
  <c r="E11" i="15"/>
  <c r="F11" i="15"/>
  <c r="G11" i="15"/>
  <c r="H11" i="15"/>
  <c r="I11" i="15"/>
  <c r="J11" i="15"/>
  <c r="K11" i="15"/>
  <c r="L11" i="15"/>
  <c r="M11" i="15"/>
  <c r="N11" i="15"/>
  <c r="O11" i="15"/>
  <c r="D12" i="15"/>
  <c r="E12" i="15"/>
  <c r="F12" i="15"/>
  <c r="G12" i="15"/>
  <c r="H12" i="15"/>
  <c r="I12" i="15"/>
  <c r="J12" i="15"/>
  <c r="K12" i="15"/>
  <c r="L12" i="15"/>
  <c r="M12" i="15"/>
  <c r="N12" i="15"/>
  <c r="O12" i="15"/>
  <c r="D13" i="15"/>
  <c r="E13" i="15"/>
  <c r="F13" i="15"/>
  <c r="G13" i="15"/>
  <c r="H13" i="15"/>
  <c r="I13" i="15"/>
  <c r="J13" i="15"/>
  <c r="K13" i="15"/>
  <c r="L13" i="15"/>
  <c r="M13" i="15"/>
  <c r="N13" i="15"/>
  <c r="O13" i="15"/>
  <c r="E4" i="15"/>
  <c r="F4" i="15"/>
  <c r="G4" i="15"/>
  <c r="H4" i="15"/>
  <c r="I4" i="15"/>
  <c r="J4" i="15"/>
  <c r="K4" i="15"/>
  <c r="L4" i="15"/>
  <c r="M4" i="15"/>
  <c r="N4" i="15"/>
  <c r="O4" i="15"/>
  <c r="D4" i="15"/>
  <c r="B119" i="25" l="1"/>
  <c r="G119" i="25" s="1"/>
  <c r="D266" i="25"/>
  <c r="E249" i="25"/>
  <c r="B110" i="25"/>
  <c r="G110" i="25" s="1"/>
  <c r="G116" i="25"/>
  <c r="C204" i="25"/>
  <c r="D203" i="25"/>
  <c r="D204" i="25" s="1"/>
  <c r="C7" i="9"/>
  <c r="C5" i="10" s="1"/>
  <c r="E5" i="10" s="1"/>
  <c r="F5" i="10" s="1"/>
  <c r="G5" i="10" s="1"/>
  <c r="C7" i="7"/>
  <c r="I12" i="13"/>
  <c r="I27" i="17" s="1"/>
  <c r="H17" i="7" s="1"/>
  <c r="G359" i="25" s="1"/>
  <c r="F12" i="13"/>
  <c r="E8" i="7" s="1"/>
  <c r="E9" i="7" s="1"/>
  <c r="D351" i="25" s="1"/>
  <c r="J12" i="13"/>
  <c r="J27" i="17" s="1"/>
  <c r="I17" i="7" s="1"/>
  <c r="H359" i="25" s="1"/>
  <c r="L12" i="13"/>
  <c r="K8" i="7" s="1"/>
  <c r="K9" i="7" s="1"/>
  <c r="J351" i="25" s="1"/>
  <c r="J15" i="7"/>
  <c r="I357" i="25" s="1"/>
  <c r="N15" i="7"/>
  <c r="M357" i="25" s="1"/>
  <c r="F15" i="7"/>
  <c r="E357" i="25" s="1"/>
  <c r="I15" i="7"/>
  <c r="H357" i="25" s="1"/>
  <c r="I13" i="7"/>
  <c r="H355" i="25" s="1"/>
  <c r="M15" i="7"/>
  <c r="L357" i="25" s="1"/>
  <c r="E15" i="7"/>
  <c r="D357" i="25" s="1"/>
  <c r="M13" i="7"/>
  <c r="L355" i="25" s="1"/>
  <c r="E13" i="7"/>
  <c r="D355" i="25" s="1"/>
  <c r="H15" i="7"/>
  <c r="G357" i="25" s="1"/>
  <c r="L13" i="7"/>
  <c r="K355" i="25" s="1"/>
  <c r="D13" i="7"/>
  <c r="C355" i="25" s="1"/>
  <c r="K12" i="13"/>
  <c r="J8" i="7" s="1"/>
  <c r="J9" i="7" s="1"/>
  <c r="I351" i="25" s="1"/>
  <c r="N12" i="13"/>
  <c r="M8" i="7" s="1"/>
  <c r="M9" i="7" s="1"/>
  <c r="L351" i="25" s="1"/>
  <c r="H13" i="7"/>
  <c r="G355" i="25" s="1"/>
  <c r="C15" i="7"/>
  <c r="B357" i="25" s="1"/>
  <c r="G15" i="7"/>
  <c r="F357" i="25" s="1"/>
  <c r="C13" i="7"/>
  <c r="B355" i="25" s="1"/>
  <c r="K13" i="7"/>
  <c r="J355" i="25" s="1"/>
  <c r="H12" i="13"/>
  <c r="G8" i="7" s="1"/>
  <c r="G9" i="7" s="1"/>
  <c r="F351" i="25" s="1"/>
  <c r="L15" i="7"/>
  <c r="K357" i="25" s="1"/>
  <c r="J13" i="7"/>
  <c r="I355" i="25" s="1"/>
  <c r="D15" i="7"/>
  <c r="C357" i="25" s="1"/>
  <c r="K15" i="7"/>
  <c r="J357" i="25" s="1"/>
  <c r="G13" i="7"/>
  <c r="F355" i="25" s="1"/>
  <c r="N13" i="7"/>
  <c r="M355" i="25" s="1"/>
  <c r="F13" i="7"/>
  <c r="E355" i="25" s="1"/>
  <c r="Q21" i="4"/>
  <c r="G12" i="13"/>
  <c r="G27" i="17" s="1"/>
  <c r="F17" i="7" s="1"/>
  <c r="E359" i="25" s="1"/>
  <c r="O12" i="13"/>
  <c r="M12" i="13"/>
  <c r="M27" i="17" s="1"/>
  <c r="L17" i="7" s="1"/>
  <c r="K359" i="25" s="1"/>
  <c r="E12" i="13"/>
  <c r="D12" i="13"/>
  <c r="P10" i="15"/>
  <c r="P5" i="15"/>
  <c r="P4" i="15"/>
  <c r="P9" i="15"/>
  <c r="P7" i="15"/>
  <c r="P11" i="15"/>
  <c r="P8" i="15"/>
  <c r="P6" i="15"/>
  <c r="P12" i="15"/>
  <c r="P13" i="15"/>
  <c r="C324" i="25" l="1"/>
  <c r="C243" i="25"/>
  <c r="I322" i="25"/>
  <c r="C327" i="25"/>
  <c r="C246" i="25"/>
  <c r="I325" i="25"/>
  <c r="C325" i="25"/>
  <c r="C244" i="25"/>
  <c r="I323" i="25"/>
  <c r="C323" i="25"/>
  <c r="C242" i="25"/>
  <c r="I321" i="25"/>
  <c r="C248" i="25"/>
  <c r="I327" i="25"/>
  <c r="C239" i="25"/>
  <c r="I318" i="25"/>
  <c r="C328" i="25"/>
  <c r="C247" i="25"/>
  <c r="I326" i="25"/>
  <c r="C321" i="25"/>
  <c r="C240" i="25"/>
  <c r="I319" i="25"/>
  <c r="C322" i="25"/>
  <c r="C241" i="25"/>
  <c r="I320" i="25"/>
  <c r="C326" i="25"/>
  <c r="C245" i="25"/>
  <c r="I324" i="25"/>
  <c r="C312" i="25"/>
  <c r="C230" i="25"/>
  <c r="I310" i="25"/>
  <c r="C313" i="25"/>
  <c r="C231" i="25"/>
  <c r="I311" i="25"/>
  <c r="C228" i="25"/>
  <c r="I308" i="25"/>
  <c r="C234" i="25"/>
  <c r="I314" i="25"/>
  <c r="C315" i="25"/>
  <c r="C233" i="25"/>
  <c r="I313" i="25"/>
  <c r="C227" i="25"/>
  <c r="D311" i="25"/>
  <c r="D229" i="25"/>
  <c r="J309" i="25"/>
  <c r="C311" i="25"/>
  <c r="C229" i="25"/>
  <c r="I309" i="25"/>
  <c r="D314" i="25"/>
  <c r="D232" i="25"/>
  <c r="J312" i="25"/>
  <c r="C314" i="25"/>
  <c r="C232" i="25"/>
  <c r="I312" i="25"/>
  <c r="H8" i="7"/>
  <c r="H9" i="7" s="1"/>
  <c r="G351" i="25" s="1"/>
  <c r="E203" i="25"/>
  <c r="E202" i="25"/>
  <c r="E204" i="25"/>
  <c r="B214" i="25"/>
  <c r="I303" i="25"/>
  <c r="B215" i="25"/>
  <c r="I304" i="25"/>
  <c r="B216" i="25"/>
  <c r="I305" i="25"/>
  <c r="I8" i="7"/>
  <c r="I9" i="7" s="1"/>
  <c r="H351" i="25" s="1"/>
  <c r="H27" i="17"/>
  <c r="G17" i="7" s="1"/>
  <c r="F359" i="25" s="1"/>
  <c r="B213" i="25"/>
  <c r="N27" i="17"/>
  <c r="M17" i="7" s="1"/>
  <c r="L359" i="25" s="1"/>
  <c r="F27" i="17"/>
  <c r="E17" i="7" s="1"/>
  <c r="D359" i="25" s="1"/>
  <c r="K27" i="17"/>
  <c r="J17" i="7" s="1"/>
  <c r="I359" i="25" s="1"/>
  <c r="L27" i="17"/>
  <c r="K17" i="7" s="1"/>
  <c r="J359" i="25" s="1"/>
  <c r="C15" i="9"/>
  <c r="B381" i="25" s="1"/>
  <c r="C310" i="25"/>
  <c r="C309" i="25"/>
  <c r="C13" i="9"/>
  <c r="B379" i="25" s="1"/>
  <c r="C316" i="25"/>
  <c r="L8" i="7"/>
  <c r="L9" i="7" s="1"/>
  <c r="K351" i="25" s="1"/>
  <c r="E27" i="17"/>
  <c r="D17" i="7" s="1"/>
  <c r="C359" i="25" s="1"/>
  <c r="D8" i="7"/>
  <c r="D9" i="7" s="1"/>
  <c r="C351" i="25" s="1"/>
  <c r="O27" i="17"/>
  <c r="N8" i="7"/>
  <c r="N9" i="7" s="1"/>
  <c r="M351" i="25" s="1"/>
  <c r="F8" i="7"/>
  <c r="F9" i="7" s="1"/>
  <c r="E351" i="25" s="1"/>
  <c r="C8" i="7"/>
  <c r="C9" i="7" s="1"/>
  <c r="B351" i="25" s="1"/>
  <c r="Q11" i="15"/>
  <c r="Q9" i="15"/>
  <c r="Q4" i="15"/>
  <c r="C320" i="25"/>
  <c r="Q8" i="15"/>
  <c r="Q7" i="15"/>
  <c r="Q12" i="15"/>
  <c r="Q13" i="15"/>
  <c r="C329" i="25"/>
  <c r="Q5" i="15"/>
  <c r="Q6" i="15"/>
  <c r="Q10" i="15"/>
  <c r="D27" i="17"/>
  <c r="C17" i="7" s="1"/>
  <c r="B359" i="25" s="1"/>
  <c r="C306" i="25"/>
  <c r="C304" i="25"/>
  <c r="C305" i="25"/>
  <c r="C303" i="25"/>
  <c r="P12" i="13"/>
  <c r="B7" i="3"/>
  <c r="B5" i="3"/>
  <c r="B4" i="2"/>
  <c r="C207" i="25" s="1"/>
  <c r="D207" i="25" s="1"/>
  <c r="B4" i="3"/>
  <c r="B8" i="2"/>
  <c r="B5" i="2"/>
  <c r="B120" i="25" l="1"/>
  <c r="P27" i="17"/>
  <c r="P28" i="17"/>
  <c r="P29" i="17"/>
  <c r="P26" i="17"/>
  <c r="D326" i="25"/>
  <c r="D245" i="25"/>
  <c r="J324" i="25"/>
  <c r="D322" i="25"/>
  <c r="D241" i="25"/>
  <c r="J320" i="25"/>
  <c r="D321" i="25"/>
  <c r="D240" i="25"/>
  <c r="J319" i="25"/>
  <c r="D239" i="25"/>
  <c r="J318" i="25"/>
  <c r="D325" i="25"/>
  <c r="D244" i="25"/>
  <c r="J323" i="25"/>
  <c r="D248" i="25"/>
  <c r="J327" i="25"/>
  <c r="D328" i="25"/>
  <c r="D247" i="25"/>
  <c r="J326" i="25"/>
  <c r="D324" i="25"/>
  <c r="D243" i="25"/>
  <c r="J322" i="25"/>
  <c r="D323" i="25"/>
  <c r="D242" i="25"/>
  <c r="J321" i="25"/>
  <c r="D327" i="25"/>
  <c r="D246" i="25"/>
  <c r="J325" i="25"/>
  <c r="E315" i="25"/>
  <c r="E233" i="25"/>
  <c r="K313" i="25"/>
  <c r="I307" i="25"/>
  <c r="C17" i="24"/>
  <c r="I315" i="25" s="1"/>
  <c r="E310" i="25"/>
  <c r="E228" i="25"/>
  <c r="K308" i="25"/>
  <c r="D227" i="25"/>
  <c r="D315" i="25"/>
  <c r="D233" i="25"/>
  <c r="J313" i="25"/>
  <c r="E314" i="25"/>
  <c r="E232" i="25"/>
  <c r="K312" i="25"/>
  <c r="D312" i="25"/>
  <c r="D230" i="25"/>
  <c r="J310" i="25"/>
  <c r="D316" i="25"/>
  <c r="D234" i="25"/>
  <c r="J314" i="25"/>
  <c r="E311" i="25"/>
  <c r="E229" i="25"/>
  <c r="K309" i="25"/>
  <c r="D231" i="25"/>
  <c r="J311" i="25"/>
  <c r="D310" i="25"/>
  <c r="D228" i="25"/>
  <c r="J308" i="25"/>
  <c r="C214" i="25"/>
  <c r="J303" i="25"/>
  <c r="C216" i="25"/>
  <c r="J305" i="25"/>
  <c r="C215" i="25"/>
  <c r="J304" i="25"/>
  <c r="C213" i="25"/>
  <c r="I302" i="25"/>
  <c r="C8" i="24"/>
  <c r="B9" i="3"/>
  <c r="B274" i="25" s="1"/>
  <c r="C206" i="25"/>
  <c r="C31" i="3"/>
  <c r="E31" i="3" s="1"/>
  <c r="B32" i="3" s="1"/>
  <c r="C20" i="3"/>
  <c r="E20" i="3" s="1"/>
  <c r="B21" i="3" s="1"/>
  <c r="D309" i="25"/>
  <c r="D13" i="9"/>
  <c r="C379" i="25" s="1"/>
  <c r="D320" i="25"/>
  <c r="D15" i="9"/>
  <c r="C381" i="25" s="1"/>
  <c r="D313" i="25"/>
  <c r="K26" i="17"/>
  <c r="J16" i="7" s="1"/>
  <c r="O26" i="17"/>
  <c r="N16" i="7" s="1"/>
  <c r="M358" i="25" s="1"/>
  <c r="L26" i="17"/>
  <c r="K16" i="7" s="1"/>
  <c r="E26" i="17"/>
  <c r="D16" i="7" s="1"/>
  <c r="M26" i="17"/>
  <c r="L16" i="7" s="1"/>
  <c r="F26" i="17"/>
  <c r="E16" i="7" s="1"/>
  <c r="N26" i="17"/>
  <c r="M16" i="7" s="1"/>
  <c r="G26" i="17"/>
  <c r="F16" i="7" s="1"/>
  <c r="D26" i="17"/>
  <c r="C16" i="7" s="1"/>
  <c r="H26" i="17"/>
  <c r="G16" i="7" s="1"/>
  <c r="O29" i="17"/>
  <c r="I26" i="17"/>
  <c r="H16" i="7" s="1"/>
  <c r="O28" i="17"/>
  <c r="N17" i="7" s="1"/>
  <c r="M359" i="25" s="1"/>
  <c r="J26" i="17"/>
  <c r="I16" i="7" s="1"/>
  <c r="C8" i="9"/>
  <c r="C9" i="9" s="1"/>
  <c r="B375" i="25" s="1"/>
  <c r="C21" i="8"/>
  <c r="C317" i="25" s="1"/>
  <c r="R9" i="15"/>
  <c r="R13" i="15"/>
  <c r="D329" i="25"/>
  <c r="R10" i="15"/>
  <c r="R6" i="15"/>
  <c r="R12" i="15"/>
  <c r="R11" i="15"/>
  <c r="R8" i="15"/>
  <c r="R4" i="15"/>
  <c r="R5" i="15"/>
  <c r="R7" i="15"/>
  <c r="C11" i="8"/>
  <c r="C307" i="25" s="1"/>
  <c r="D306" i="25"/>
  <c r="D305" i="25"/>
  <c r="D304" i="25"/>
  <c r="Q12" i="13"/>
  <c r="D303" i="25"/>
  <c r="B10" i="2"/>
  <c r="B6" i="2"/>
  <c r="Q27" i="17" l="1"/>
  <c r="Q29" i="17"/>
  <c r="C265" i="25" s="1"/>
  <c r="Q28" i="17"/>
  <c r="Q26" i="17"/>
  <c r="C31" i="24"/>
  <c r="I329" i="25" s="1"/>
  <c r="C35" i="8"/>
  <c r="C331" i="25" s="1"/>
  <c r="C34" i="8"/>
  <c r="C330" i="25" s="1"/>
  <c r="C30" i="24"/>
  <c r="E239" i="25"/>
  <c r="K318" i="25"/>
  <c r="E324" i="25"/>
  <c r="E243" i="25"/>
  <c r="K322" i="25"/>
  <c r="E328" i="25"/>
  <c r="E247" i="25"/>
  <c r="K326" i="25"/>
  <c r="E326" i="25"/>
  <c r="E245" i="25"/>
  <c r="K324" i="25"/>
  <c r="E327" i="25"/>
  <c r="E246" i="25"/>
  <c r="K325" i="25"/>
  <c r="E322" i="25"/>
  <c r="E241" i="25"/>
  <c r="K320" i="25"/>
  <c r="E325" i="25"/>
  <c r="E244" i="25"/>
  <c r="K323" i="25"/>
  <c r="E323" i="25"/>
  <c r="E242" i="25"/>
  <c r="K321" i="25"/>
  <c r="E321" i="25"/>
  <c r="E240" i="25"/>
  <c r="K319" i="25"/>
  <c r="E329" i="25"/>
  <c r="E248" i="25"/>
  <c r="K327" i="25"/>
  <c r="E316" i="25"/>
  <c r="E234" i="25"/>
  <c r="K314" i="25"/>
  <c r="E227" i="25"/>
  <c r="E312" i="25"/>
  <c r="E230" i="25"/>
  <c r="K310" i="25"/>
  <c r="J307" i="25"/>
  <c r="D17" i="24"/>
  <c r="J315" i="25" s="1"/>
  <c r="E313" i="25"/>
  <c r="E231" i="25"/>
  <c r="K311" i="25"/>
  <c r="C9" i="3"/>
  <c r="C274" i="25" s="1"/>
  <c r="D9" i="3"/>
  <c r="F9" i="3"/>
  <c r="E274" i="25" s="1"/>
  <c r="F10" i="2"/>
  <c r="E284" i="25" s="1"/>
  <c r="B284" i="25"/>
  <c r="E304" i="25"/>
  <c r="D214" i="25"/>
  <c r="K303" i="25"/>
  <c r="E305" i="25"/>
  <c r="D215" i="25"/>
  <c r="K304" i="25"/>
  <c r="E306" i="25"/>
  <c r="D216" i="25"/>
  <c r="K305" i="25"/>
  <c r="D213" i="25"/>
  <c r="B265" i="25"/>
  <c r="C238" i="25"/>
  <c r="C35" i="24"/>
  <c r="D18" i="7"/>
  <c r="C358" i="25"/>
  <c r="D8" i="9"/>
  <c r="D9" i="9" s="1"/>
  <c r="C375" i="25" s="1"/>
  <c r="C120" i="25"/>
  <c r="C18" i="7"/>
  <c r="B358" i="25"/>
  <c r="L18" i="7"/>
  <c r="K358" i="25"/>
  <c r="F18" i="7"/>
  <c r="E358" i="25"/>
  <c r="K18" i="7"/>
  <c r="J358" i="25"/>
  <c r="I306" i="25"/>
  <c r="C18" i="24"/>
  <c r="G18" i="7"/>
  <c r="F358" i="25"/>
  <c r="C237" i="25"/>
  <c r="C40" i="24"/>
  <c r="I338" i="25" s="1"/>
  <c r="B259" i="25"/>
  <c r="C236" i="25"/>
  <c r="I18" i="7"/>
  <c r="H358" i="25"/>
  <c r="D39" i="8"/>
  <c r="D335" i="25" s="1"/>
  <c r="D35" i="24"/>
  <c r="M18" i="7"/>
  <c r="L358" i="25"/>
  <c r="H18" i="7"/>
  <c r="G358" i="25"/>
  <c r="E18" i="7"/>
  <c r="D358" i="25"/>
  <c r="J18" i="7"/>
  <c r="I358" i="25"/>
  <c r="D8" i="24"/>
  <c r="J302" i="25"/>
  <c r="C235" i="25"/>
  <c r="F22" i="7"/>
  <c r="E363" i="25" s="1"/>
  <c r="H22" i="7"/>
  <c r="G363" i="25" s="1"/>
  <c r="C22" i="9"/>
  <c r="B387" i="25" s="1"/>
  <c r="D22" i="7"/>
  <c r="C363" i="25" s="1"/>
  <c r="L22" i="7"/>
  <c r="K363" i="25" s="1"/>
  <c r="E22" i="7"/>
  <c r="D363" i="25" s="1"/>
  <c r="C208" i="25"/>
  <c r="D206" i="25"/>
  <c r="C29" i="2"/>
  <c r="C48" i="2"/>
  <c r="D21" i="3"/>
  <c r="F21" i="3"/>
  <c r="C21" i="3"/>
  <c r="D32" i="3"/>
  <c r="F32" i="3"/>
  <c r="C32" i="3"/>
  <c r="N18" i="7"/>
  <c r="E15" i="9"/>
  <c r="D381" i="25" s="1"/>
  <c r="E320" i="25"/>
  <c r="E13" i="9"/>
  <c r="D379" i="25" s="1"/>
  <c r="C17" i="9"/>
  <c r="B383" i="25" s="1"/>
  <c r="C6" i="21"/>
  <c r="C39" i="8"/>
  <c r="C335" i="25" s="1"/>
  <c r="C16" i="9"/>
  <c r="B382" i="25" s="1"/>
  <c r="C22" i="8"/>
  <c r="C318" i="25" s="1"/>
  <c r="D21" i="8"/>
  <c r="D317" i="25" s="1"/>
  <c r="C10" i="2"/>
  <c r="D11" i="8"/>
  <c r="D307" i="25" s="1"/>
  <c r="C42" i="8"/>
  <c r="C338" i="25" s="1"/>
  <c r="R12" i="13"/>
  <c r="E9" i="3" l="1"/>
  <c r="D274" i="25" s="1"/>
  <c r="D238" i="25"/>
  <c r="D31" i="24"/>
  <c r="J329" i="25" s="1"/>
  <c r="D35" i="8"/>
  <c r="D331" i="25" s="1"/>
  <c r="D235" i="25"/>
  <c r="R27" i="17"/>
  <c r="R29" i="17"/>
  <c r="R26" i="17"/>
  <c r="R28" i="17"/>
  <c r="D30" i="24"/>
  <c r="D34" i="8"/>
  <c r="D330" i="25" s="1"/>
  <c r="C22" i="7"/>
  <c r="B363" i="25" s="1"/>
  <c r="M22" i="7"/>
  <c r="L363" i="25" s="1"/>
  <c r="K22" i="7"/>
  <c r="J363" i="25" s="1"/>
  <c r="E21" i="8"/>
  <c r="E317" i="25" s="1"/>
  <c r="E309" i="25"/>
  <c r="K307" i="25"/>
  <c r="E17" i="24"/>
  <c r="K315" i="25" s="1"/>
  <c r="I22" i="7"/>
  <c r="H363" i="25" s="1"/>
  <c r="G22" i="7"/>
  <c r="F363" i="25" s="1"/>
  <c r="N22" i="7"/>
  <c r="M363" i="25" s="1"/>
  <c r="J22" i="7"/>
  <c r="I363" i="25" s="1"/>
  <c r="C20" i="7"/>
  <c r="B361" i="25" s="1"/>
  <c r="C284" i="25"/>
  <c r="E8" i="9"/>
  <c r="E9" i="9" s="1"/>
  <c r="D375" i="25" s="1"/>
  <c r="D120" i="25"/>
  <c r="G120" i="25" s="1"/>
  <c r="E11" i="8"/>
  <c r="E307" i="25" s="1"/>
  <c r="E303" i="25"/>
  <c r="C259" i="25"/>
  <c r="D236" i="25"/>
  <c r="I333" i="25"/>
  <c r="C43" i="24"/>
  <c r="I341" i="25" s="1"/>
  <c r="D237" i="25"/>
  <c r="D40" i="24"/>
  <c r="J338" i="25" s="1"/>
  <c r="I328" i="25"/>
  <c r="C32" i="24"/>
  <c r="I330" i="25" s="1"/>
  <c r="I316" i="25"/>
  <c r="C19" i="24"/>
  <c r="I317" i="25" s="1"/>
  <c r="D6" i="21"/>
  <c r="B399" i="25"/>
  <c r="J306" i="25"/>
  <c r="D18" i="24"/>
  <c r="J333" i="25"/>
  <c r="D43" i="24"/>
  <c r="J341" i="25" s="1"/>
  <c r="K302" i="25"/>
  <c r="E8" i="24"/>
  <c r="D208" i="25"/>
  <c r="C209" i="25" s="1"/>
  <c r="L21" i="7"/>
  <c r="K362" i="25" s="1"/>
  <c r="M21" i="7"/>
  <c r="L362" i="25" s="1"/>
  <c r="F21" i="7"/>
  <c r="E362" i="25" s="1"/>
  <c r="N21" i="7"/>
  <c r="M362" i="25" s="1"/>
  <c r="C21" i="9"/>
  <c r="B386" i="25" s="1"/>
  <c r="G21" i="7"/>
  <c r="F362" i="25" s="1"/>
  <c r="C21" i="7"/>
  <c r="B362" i="25" s="1"/>
  <c r="H21" i="7"/>
  <c r="G362" i="25" s="1"/>
  <c r="D21" i="7"/>
  <c r="C362" i="25" s="1"/>
  <c r="K21" i="7"/>
  <c r="J362" i="25" s="1"/>
  <c r="I21" i="7"/>
  <c r="H362" i="25" s="1"/>
  <c r="E21" i="7"/>
  <c r="D362" i="25" s="1"/>
  <c r="J21" i="7"/>
  <c r="I362" i="25" s="1"/>
  <c r="D48" i="2"/>
  <c r="E48" i="2"/>
  <c r="D29" i="2"/>
  <c r="E29" i="2"/>
  <c r="D10" i="2"/>
  <c r="E32" i="3"/>
  <c r="B33" i="3" s="1"/>
  <c r="E21" i="3"/>
  <c r="B22" i="3" s="1"/>
  <c r="E10" i="2"/>
  <c r="D284" i="25" s="1"/>
  <c r="C18" i="9"/>
  <c r="D17" i="9"/>
  <c r="C383" i="25" s="1"/>
  <c r="D16" i="9"/>
  <c r="C382" i="25" s="1"/>
  <c r="D22" i="8"/>
  <c r="D318" i="25" s="1"/>
  <c r="C36" i="8"/>
  <c r="B10" i="3"/>
  <c r="D42" i="8"/>
  <c r="D338" i="25" s="1"/>
  <c r="E31" i="24" l="1"/>
  <c r="K329" i="25" s="1"/>
  <c r="E35" i="8"/>
  <c r="E235" i="25"/>
  <c r="E39" i="8"/>
  <c r="E335" i="25" s="1"/>
  <c r="E238" i="25"/>
  <c r="D265" i="25"/>
  <c r="E35" i="24"/>
  <c r="E34" i="8"/>
  <c r="E330" i="25" s="1"/>
  <c r="E30" i="24"/>
  <c r="F10" i="3"/>
  <c r="E275" i="25" s="1"/>
  <c r="B275" i="25"/>
  <c r="E22" i="8"/>
  <c r="E318" i="25" s="1"/>
  <c r="J328" i="25"/>
  <c r="D32" i="24"/>
  <c r="J330" i="25" s="1"/>
  <c r="C33" i="24"/>
  <c r="J316" i="25"/>
  <c r="D19" i="24"/>
  <c r="J317" i="25" s="1"/>
  <c r="E42" i="8"/>
  <c r="E338" i="25" s="1"/>
  <c r="E237" i="25"/>
  <c r="E40" i="24"/>
  <c r="K338" i="25" s="1"/>
  <c r="E236" i="25"/>
  <c r="D259" i="25"/>
  <c r="E18" i="24"/>
  <c r="K306" i="25"/>
  <c r="E6" i="21"/>
  <c r="D399" i="25" s="1"/>
  <c r="C399" i="25"/>
  <c r="C38" i="8"/>
  <c r="C334" i="25" s="1"/>
  <c r="C332" i="25"/>
  <c r="B30" i="2"/>
  <c r="F30" i="2" s="1"/>
  <c r="E208" i="25"/>
  <c r="D209" i="25"/>
  <c r="B209" i="25"/>
  <c r="E207" i="25"/>
  <c r="B49" i="2"/>
  <c r="F49" i="2" s="1"/>
  <c r="E206" i="25"/>
  <c r="B11" i="2"/>
  <c r="C19" i="7"/>
  <c r="B360" i="25" s="1"/>
  <c r="C22" i="3"/>
  <c r="F22" i="3"/>
  <c r="D22" i="3"/>
  <c r="F33" i="3"/>
  <c r="D33" i="3"/>
  <c r="C33" i="3"/>
  <c r="C10" i="3"/>
  <c r="D10" i="3"/>
  <c r="E17" i="9"/>
  <c r="D383" i="25" s="1"/>
  <c r="D18" i="9"/>
  <c r="E16" i="9"/>
  <c r="D36" i="8"/>
  <c r="K333" i="25" l="1"/>
  <c r="E43" i="24"/>
  <c r="K341" i="25" s="1"/>
  <c r="C30" i="2"/>
  <c r="E30" i="2" s="1"/>
  <c r="D22" i="9"/>
  <c r="C387" i="25" s="1"/>
  <c r="C275" i="25"/>
  <c r="C11" i="2"/>
  <c r="C285" i="25" s="1"/>
  <c r="B285" i="25"/>
  <c r="D33" i="24"/>
  <c r="D36" i="24" s="1"/>
  <c r="J334" i="25" s="1"/>
  <c r="K316" i="25"/>
  <c r="E19" i="24"/>
  <c r="K317" i="25" s="1"/>
  <c r="K328" i="25"/>
  <c r="E32" i="24"/>
  <c r="K330" i="25" s="1"/>
  <c r="D38" i="8"/>
  <c r="D334" i="25" s="1"/>
  <c r="D332" i="25"/>
  <c r="I331" i="25"/>
  <c r="C34" i="24"/>
  <c r="I332" i="25" s="1"/>
  <c r="C36" i="24"/>
  <c r="I334" i="25" s="1"/>
  <c r="E18" i="9"/>
  <c r="D382" i="25"/>
  <c r="E36" i="8"/>
  <c r="E331" i="25"/>
  <c r="C49" i="2"/>
  <c r="E49" i="2" s="1"/>
  <c r="F11" i="2"/>
  <c r="E22" i="3"/>
  <c r="B23" i="3" s="1"/>
  <c r="C23" i="3" s="1"/>
  <c r="E33" i="3"/>
  <c r="B34" i="3" s="1"/>
  <c r="E10" i="3"/>
  <c r="D275" i="25" s="1"/>
  <c r="D11" i="2" l="1"/>
  <c r="D20" i="7"/>
  <c r="C361" i="25" s="1"/>
  <c r="D49" i="2"/>
  <c r="D30" i="2"/>
  <c r="E11" i="2"/>
  <c r="D285" i="25" s="1"/>
  <c r="E285" i="25"/>
  <c r="J331" i="25"/>
  <c r="D34" i="24"/>
  <c r="J332" i="25" s="1"/>
  <c r="E38" i="8"/>
  <c r="E334" i="25" s="1"/>
  <c r="E332" i="25"/>
  <c r="E33" i="24"/>
  <c r="B50" i="2"/>
  <c r="C50" i="2" s="1"/>
  <c r="B11" i="3"/>
  <c r="C11" i="3" s="1"/>
  <c r="D21" i="9"/>
  <c r="C386" i="25" s="1"/>
  <c r="B31" i="2"/>
  <c r="D23" i="3"/>
  <c r="F23" i="3"/>
  <c r="E23" i="3" s="1"/>
  <c r="B24" i="3" s="1"/>
  <c r="F24" i="3" s="1"/>
  <c r="D34" i="3"/>
  <c r="C34" i="3"/>
  <c r="F34" i="3"/>
  <c r="D24" i="3" l="1"/>
  <c r="D19" i="7"/>
  <c r="C360" i="25" s="1"/>
  <c r="D11" i="3"/>
  <c r="B12" i="2"/>
  <c r="F12" i="2" s="1"/>
  <c r="E286" i="25" s="1"/>
  <c r="E34" i="3"/>
  <c r="B35" i="3" s="1"/>
  <c r="C35" i="3" s="1"/>
  <c r="F50" i="2"/>
  <c r="E50" i="2" s="1"/>
  <c r="B51" i="2" s="1"/>
  <c r="C51" i="2" s="1"/>
  <c r="D51" i="2" s="1"/>
  <c r="E22" i="9"/>
  <c r="D387" i="25" s="1"/>
  <c r="C276" i="25"/>
  <c r="F11" i="3"/>
  <c r="E276" i="25" s="1"/>
  <c r="B276" i="25"/>
  <c r="K331" i="25"/>
  <c r="E34" i="24"/>
  <c r="K332" i="25" s="1"/>
  <c r="E36" i="24"/>
  <c r="K334" i="25" s="1"/>
  <c r="C24" i="3"/>
  <c r="E24" i="3" s="1"/>
  <c r="C31" i="2"/>
  <c r="F31" i="2"/>
  <c r="E31" i="2" s="1"/>
  <c r="D50" i="2"/>
  <c r="F51" i="2" l="1"/>
  <c r="D35" i="3"/>
  <c r="B286" i="25"/>
  <c r="F35" i="3"/>
  <c r="E35" i="3" s="1"/>
  <c r="C12" i="2"/>
  <c r="E12" i="2" s="1"/>
  <c r="D286" i="25" s="1"/>
  <c r="E11" i="3"/>
  <c r="B12" i="3" s="1"/>
  <c r="E21" i="9"/>
  <c r="D386" i="25" s="1"/>
  <c r="D276" i="25"/>
  <c r="E51" i="2"/>
  <c r="B52" i="2" s="1"/>
  <c r="C52" i="2" s="1"/>
  <c r="B32" i="2"/>
  <c r="D31" i="2"/>
  <c r="C286" i="25" l="1"/>
  <c r="D12" i="2"/>
  <c r="E20" i="7"/>
  <c r="D361" i="25" s="1"/>
  <c r="E19" i="7"/>
  <c r="D360" i="25" s="1"/>
  <c r="B13" i="2"/>
  <c r="F13" i="2" s="1"/>
  <c r="F12" i="3"/>
  <c r="E277" i="25" s="1"/>
  <c r="B277" i="25"/>
  <c r="D52" i="2"/>
  <c r="F52" i="2"/>
  <c r="E52" i="2" s="1"/>
  <c r="C32" i="2"/>
  <c r="F32" i="2"/>
  <c r="D12" i="3"/>
  <c r="C12" i="3"/>
  <c r="E16" i="21"/>
  <c r="C16" i="21"/>
  <c r="D16" i="21"/>
  <c r="E12" i="3" l="1"/>
  <c r="C277" i="25"/>
  <c r="E287" i="25"/>
  <c r="D15" i="21"/>
  <c r="C408" i="25" s="1"/>
  <c r="C409" i="25"/>
  <c r="C15" i="21"/>
  <c r="B408" i="25" s="1"/>
  <c r="B409" i="25"/>
  <c r="E15" i="21"/>
  <c r="D408" i="25" s="1"/>
  <c r="D409" i="25"/>
  <c r="C13" i="2"/>
  <c r="E13" i="2" s="1"/>
  <c r="B287" i="25"/>
  <c r="E32" i="2"/>
  <c r="D32" i="2"/>
  <c r="B53" i="2"/>
  <c r="D287" i="25" l="1"/>
  <c r="F19" i="7"/>
  <c r="E360" i="25" s="1"/>
  <c r="B14" i="2"/>
  <c r="B288" i="25" s="1"/>
  <c r="D13" i="2"/>
  <c r="C287" i="25"/>
  <c r="F20" i="7"/>
  <c r="E361" i="25" s="1"/>
  <c r="B13" i="3"/>
  <c r="D277" i="25"/>
  <c r="C53" i="2"/>
  <c r="F53" i="2"/>
  <c r="E53" i="2" s="1"/>
  <c r="B33" i="2"/>
  <c r="F14" i="2" l="1"/>
  <c r="E288" i="25" s="1"/>
  <c r="B278" i="25"/>
  <c r="D13" i="3"/>
  <c r="C13" i="3"/>
  <c r="C278" i="25" s="1"/>
  <c r="F13" i="3"/>
  <c r="C14" i="2"/>
  <c r="C288" i="25" s="1"/>
  <c r="F33" i="2"/>
  <c r="C33" i="2"/>
  <c r="B54" i="2"/>
  <c r="D53" i="2"/>
  <c r="G20" i="7" l="1"/>
  <c r="F361" i="25" s="1"/>
  <c r="E278" i="25"/>
  <c r="E13" i="3"/>
  <c r="D278" i="25" s="1"/>
  <c r="D14" i="2"/>
  <c r="E14" i="2"/>
  <c r="D288" i="25" s="1"/>
  <c r="C54" i="2"/>
  <c r="F54" i="2"/>
  <c r="D33" i="2"/>
  <c r="E33" i="2"/>
  <c r="G19" i="7" l="1"/>
  <c r="F360" i="25" s="1"/>
  <c r="B15" i="2"/>
  <c r="B289" i="25" s="1"/>
  <c r="E54" i="2"/>
  <c r="B55" i="2" s="1"/>
  <c r="B34" i="2"/>
  <c r="D54" i="2"/>
  <c r="F15" i="2" l="1"/>
  <c r="E289" i="25" s="1"/>
  <c r="C15" i="2"/>
  <c r="C289" i="25" s="1"/>
  <c r="F55" i="2"/>
  <c r="C55" i="2"/>
  <c r="D55" i="2" s="1"/>
  <c r="F34" i="2"/>
  <c r="C34" i="2"/>
  <c r="H20" i="7" l="1"/>
  <c r="G361" i="25" s="1"/>
  <c r="D15" i="2"/>
  <c r="E15" i="2"/>
  <c r="B16" i="2" s="1"/>
  <c r="B290" i="25" s="1"/>
  <c r="E55" i="2"/>
  <c r="B56" i="2" s="1"/>
  <c r="D34" i="2"/>
  <c r="E34" i="2"/>
  <c r="B35" i="2" s="1"/>
  <c r="D289" i="25" l="1"/>
  <c r="H19" i="7"/>
  <c r="G360" i="25" s="1"/>
  <c r="C16" i="2"/>
  <c r="C290" i="25" s="1"/>
  <c r="F16" i="2"/>
  <c r="C56" i="2"/>
  <c r="D56" i="2" s="1"/>
  <c r="F56" i="2"/>
  <c r="F35" i="2"/>
  <c r="C35" i="2"/>
  <c r="D35" i="2" s="1"/>
  <c r="I20" i="7" l="1"/>
  <c r="H361" i="25" s="1"/>
  <c r="D16" i="2"/>
  <c r="E16" i="2"/>
  <c r="D290" i="25" s="1"/>
  <c r="E290" i="25"/>
  <c r="E56" i="2"/>
  <c r="B57" i="2" s="1"/>
  <c r="C57" i="2" s="1"/>
  <c r="D57" i="2" s="1"/>
  <c r="E35" i="2"/>
  <c r="B36" i="2" s="1"/>
  <c r="I19" i="7" l="1"/>
  <c r="H360" i="25" s="1"/>
  <c r="B17" i="2"/>
  <c r="B291" i="25" s="1"/>
  <c r="F57" i="2"/>
  <c r="E57" i="2" s="1"/>
  <c r="B58" i="2" s="1"/>
  <c r="C58" i="2" s="1"/>
  <c r="D58" i="2" s="1"/>
  <c r="C36" i="2"/>
  <c r="D36" i="2" s="1"/>
  <c r="F36" i="2"/>
  <c r="F17" i="2" l="1"/>
  <c r="E291" i="25" s="1"/>
  <c r="C17" i="2"/>
  <c r="D17" i="2" s="1"/>
  <c r="F58" i="2"/>
  <c r="E58" i="2" s="1"/>
  <c r="B59" i="2" s="1"/>
  <c r="F59" i="2" s="1"/>
  <c r="E36" i="2"/>
  <c r="B37" i="2" s="1"/>
  <c r="C37" i="2" s="1"/>
  <c r="D37" i="2" s="1"/>
  <c r="C23" i="7"/>
  <c r="G23" i="7"/>
  <c r="F364" i="25" s="1"/>
  <c r="I23" i="7"/>
  <c r="H364" i="25" s="1"/>
  <c r="E17" i="2" l="1"/>
  <c r="B18" i="2" s="1"/>
  <c r="B292" i="25" s="1"/>
  <c r="C291" i="25"/>
  <c r="J20" i="7"/>
  <c r="I361" i="25" s="1"/>
  <c r="C59" i="2"/>
  <c r="E59" i="2" s="1"/>
  <c r="E19" i="9" s="1"/>
  <c r="F37" i="2"/>
  <c r="E37" i="2" s="1"/>
  <c r="B38" i="2" s="1"/>
  <c r="C24" i="7"/>
  <c r="B365" i="25" s="1"/>
  <c r="B364" i="25"/>
  <c r="H23" i="7"/>
  <c r="G364" i="25" s="1"/>
  <c r="F23" i="7"/>
  <c r="E364" i="25" s="1"/>
  <c r="E23" i="7"/>
  <c r="D364" i="25" s="1"/>
  <c r="D23" i="7"/>
  <c r="C364" i="25" s="1"/>
  <c r="F18" i="2" l="1"/>
  <c r="E292" i="25" s="1"/>
  <c r="C18" i="2"/>
  <c r="C292" i="25" s="1"/>
  <c r="D291" i="25"/>
  <c r="J19" i="7"/>
  <c r="C25" i="7"/>
  <c r="B366" i="25" s="1"/>
  <c r="D59" i="2"/>
  <c r="E20" i="9"/>
  <c r="D385" i="25" s="1"/>
  <c r="E40" i="8"/>
  <c r="E37" i="24"/>
  <c r="C38" i="2"/>
  <c r="D38" i="2" s="1"/>
  <c r="F38" i="2"/>
  <c r="D384" i="25"/>
  <c r="K20" i="7"/>
  <c r="J361" i="25" s="1"/>
  <c r="D18" i="2" l="1"/>
  <c r="E18" i="2"/>
  <c r="D292" i="25" s="1"/>
  <c r="I360" i="25"/>
  <c r="J23" i="7"/>
  <c r="I364" i="25" s="1"/>
  <c r="D5" i="7"/>
  <c r="D25" i="7" s="1"/>
  <c r="E38" i="24"/>
  <c r="K335" i="25"/>
  <c r="E23" i="9"/>
  <c r="D388" i="25" s="1"/>
  <c r="E38" i="2"/>
  <c r="B39" i="2" s="1"/>
  <c r="E336" i="25"/>
  <c r="E41" i="8"/>
  <c r="D255" i="25"/>
  <c r="K19" i="7"/>
  <c r="B19" i="2" l="1"/>
  <c r="B293" i="25" s="1"/>
  <c r="C349" i="25"/>
  <c r="E24" i="9"/>
  <c r="D389" i="25" s="1"/>
  <c r="E39" i="24"/>
  <c r="K336" i="25"/>
  <c r="E337" i="25"/>
  <c r="E43" i="8"/>
  <c r="K23" i="7"/>
  <c r="J364" i="25" s="1"/>
  <c r="J360" i="25"/>
  <c r="E5" i="7"/>
  <c r="C366" i="25"/>
  <c r="F39" i="2"/>
  <c r="C39" i="2"/>
  <c r="C19" i="2" l="1"/>
  <c r="C293" i="25" s="1"/>
  <c r="F19" i="2"/>
  <c r="E293" i="25" s="1"/>
  <c r="K337" i="25"/>
  <c r="E41" i="24"/>
  <c r="E339" i="25"/>
  <c r="E44" i="8"/>
  <c r="D121" i="25"/>
  <c r="E45" i="8"/>
  <c r="E25" i="7"/>
  <c r="D349" i="25"/>
  <c r="D39" i="2"/>
  <c r="E39" i="2"/>
  <c r="L20" i="7"/>
  <c r="K361" i="25" s="1"/>
  <c r="E19" i="2" l="1"/>
  <c r="D293" i="25" s="1"/>
  <c r="D19" i="2"/>
  <c r="E341" i="25"/>
  <c r="E12" i="21"/>
  <c r="D405" i="25" s="1"/>
  <c r="D122" i="25"/>
  <c r="E340" i="25"/>
  <c r="E42" i="24"/>
  <c r="K340" i="25" s="1"/>
  <c r="K339" i="25"/>
  <c r="E44" i="24"/>
  <c r="K342" i="25" s="1"/>
  <c r="F5" i="7"/>
  <c r="D366" i="25"/>
  <c r="B40" i="2"/>
  <c r="L19" i="7"/>
  <c r="B20" i="2" l="1"/>
  <c r="B294" i="25" s="1"/>
  <c r="L23" i="7"/>
  <c r="K364" i="25" s="1"/>
  <c r="K360" i="25"/>
  <c r="F25" i="7"/>
  <c r="E349" i="25"/>
  <c r="C40" i="2"/>
  <c r="F40" i="2"/>
  <c r="F20" i="2" l="1"/>
  <c r="E294" i="25" s="1"/>
  <c r="C20" i="2"/>
  <c r="C294" i="25" s="1"/>
  <c r="E40" i="2"/>
  <c r="D19" i="9" s="1"/>
  <c r="C384" i="25" s="1"/>
  <c r="G5" i="7"/>
  <c r="E366" i="25"/>
  <c r="D40" i="2"/>
  <c r="D20" i="9"/>
  <c r="D40" i="8"/>
  <c r="D336" i="25" s="1"/>
  <c r="D37" i="24"/>
  <c r="D20" i="2" l="1"/>
  <c r="M20" i="7"/>
  <c r="L361" i="25" s="1"/>
  <c r="E20" i="2"/>
  <c r="D294" i="25" s="1"/>
  <c r="G25" i="7"/>
  <c r="F349" i="25"/>
  <c r="J335" i="25"/>
  <c r="D38" i="24"/>
  <c r="D23" i="9"/>
  <c r="C385" i="25"/>
  <c r="D41" i="8"/>
  <c r="C255" i="25"/>
  <c r="M19" i="7" l="1"/>
  <c r="L360" i="25" s="1"/>
  <c r="B21" i="2"/>
  <c r="H5" i="7"/>
  <c r="F366" i="25"/>
  <c r="D43" i="8"/>
  <c r="D337" i="25"/>
  <c r="J336" i="25"/>
  <c r="D39" i="24"/>
  <c r="D24" i="9"/>
  <c r="C389" i="25" s="1"/>
  <c r="C388" i="25"/>
  <c r="M23" i="7" l="1"/>
  <c r="L364" i="25" s="1"/>
  <c r="B295" i="25"/>
  <c r="C21" i="2"/>
  <c r="F21" i="2"/>
  <c r="H25" i="7"/>
  <c r="G349" i="25"/>
  <c r="D41" i="24"/>
  <c r="J337" i="25"/>
  <c r="D339" i="25"/>
  <c r="C121" i="25"/>
  <c r="D44" i="8"/>
  <c r="D45" i="8"/>
  <c r="E21" i="2" l="1"/>
  <c r="E295" i="25"/>
  <c r="C295" i="25"/>
  <c r="D21" i="2"/>
  <c r="C37" i="24"/>
  <c r="N20" i="7"/>
  <c r="M361" i="25" s="1"/>
  <c r="C20" i="9"/>
  <c r="B385" i="25" s="1"/>
  <c r="C40" i="8"/>
  <c r="I5" i="7"/>
  <c r="G366" i="25"/>
  <c r="C122" i="25"/>
  <c r="D340" i="25"/>
  <c r="D12" i="21"/>
  <c r="C405" i="25" s="1"/>
  <c r="D341" i="25"/>
  <c r="J339" i="25"/>
  <c r="D42" i="24"/>
  <c r="J340" i="25" s="1"/>
  <c r="D44" i="24"/>
  <c r="J342" i="25" s="1"/>
  <c r="C336" i="25" l="1"/>
  <c r="B255" i="25"/>
  <c r="C41" i="8"/>
  <c r="C38" i="24"/>
  <c r="I335" i="25"/>
  <c r="D295" i="25"/>
  <c r="N19" i="7"/>
  <c r="C19" i="9"/>
  <c r="I25" i="7"/>
  <c r="H349" i="25"/>
  <c r="M360" i="25" l="1"/>
  <c r="N23" i="7"/>
  <c r="M364" i="25" s="1"/>
  <c r="C39" i="24"/>
  <c r="I336" i="25"/>
  <c r="B384" i="25"/>
  <c r="C23" i="9"/>
  <c r="C43" i="8"/>
  <c r="C337" i="25"/>
  <c r="J5" i="7"/>
  <c r="H366" i="25"/>
  <c r="C45" i="8" l="1"/>
  <c r="C339" i="25"/>
  <c r="C44" i="8"/>
  <c r="B121" i="25"/>
  <c r="G121" i="25" s="1"/>
  <c r="C24" i="9"/>
  <c r="B388" i="25"/>
  <c r="I337" i="25"/>
  <c r="C41" i="24"/>
  <c r="J25" i="7"/>
  <c r="I349" i="25"/>
  <c r="C25" i="9" l="1"/>
  <c r="B389" i="25"/>
  <c r="B122" i="25"/>
  <c r="G122" i="25" s="1"/>
  <c r="C340" i="25"/>
  <c r="C44" i="24"/>
  <c r="I342" i="25" s="1"/>
  <c r="I339" i="25"/>
  <c r="C42" i="24"/>
  <c r="I340" i="25" s="1"/>
  <c r="C12" i="21"/>
  <c r="D6" i="10" a="1"/>
  <c r="C341" i="25"/>
  <c r="K5" i="7"/>
  <c r="I366" i="25"/>
  <c r="C11" i="21" l="1"/>
  <c r="B405" i="25"/>
  <c r="D14" i="21"/>
  <c r="D6" i="10"/>
  <c r="E6" i="10" s="1"/>
  <c r="F6" i="10" s="1"/>
  <c r="G6" i="10" s="1"/>
  <c r="D7" i="10"/>
  <c r="E7" i="10" s="1"/>
  <c r="F7" i="10" s="1"/>
  <c r="D8" i="10"/>
  <c r="D5" i="9"/>
  <c r="B390" i="25"/>
  <c r="C7" i="21"/>
  <c r="K25" i="7"/>
  <c r="J349" i="25"/>
  <c r="G7" i="10" l="1"/>
  <c r="C373" i="25"/>
  <c r="D25" i="9"/>
  <c r="D11" i="21"/>
  <c r="E14" i="21"/>
  <c r="C407" i="25"/>
  <c r="D9" i="10"/>
  <c r="E8" i="10"/>
  <c r="F8" i="10" s="1"/>
  <c r="C8" i="21"/>
  <c r="B401" i="25" s="1"/>
  <c r="B400" i="25"/>
  <c r="B404" i="25"/>
  <c r="C18" i="21"/>
  <c r="L5" i="7"/>
  <c r="J366" i="25"/>
  <c r="G8" i="10" l="1"/>
  <c r="E11" i="21"/>
  <c r="D407" i="25"/>
  <c r="D18" i="21"/>
  <c r="C404" i="25"/>
  <c r="C390" i="25"/>
  <c r="D7" i="21"/>
  <c r="E5" i="9"/>
  <c r="E9" i="10"/>
  <c r="F9" i="10" s="1"/>
  <c r="G9" i="10" s="1"/>
  <c r="D10" i="10"/>
  <c r="E10" i="10" s="1"/>
  <c r="F10" i="10" s="1"/>
  <c r="C20" i="21"/>
  <c r="B411" i="25"/>
  <c r="L25" i="7"/>
  <c r="K349" i="25"/>
  <c r="F11" i="10" l="1"/>
  <c r="G123" i="25" s="1"/>
  <c r="C400" i="25"/>
  <c r="D8" i="21"/>
  <c r="C401" i="25" s="1"/>
  <c r="C411" i="25"/>
  <c r="D373" i="25"/>
  <c r="E25" i="9"/>
  <c r="G10" i="10"/>
  <c r="E18" i="21"/>
  <c r="D411" i="25" s="1"/>
  <c r="D404" i="25"/>
  <c r="M5" i="7"/>
  <c r="K366" i="25"/>
  <c r="F12" i="10" l="1"/>
  <c r="G124" i="25" s="1"/>
  <c r="D20" i="21"/>
  <c r="D390" i="25"/>
  <c r="E7" i="21"/>
  <c r="M25" i="7"/>
  <c r="L349" i="25"/>
  <c r="E8" i="21" l="1"/>
  <c r="D400" i="25"/>
  <c r="N5" i="7"/>
  <c r="L366" i="25"/>
  <c r="D401" i="25" l="1"/>
  <c r="E20" i="21"/>
  <c r="E21" i="21" s="1"/>
  <c r="N25" i="7"/>
  <c r="M366" i="25" s="1"/>
  <c r="M349"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tc={0DC1CFCC-8E87-4120-A5CE-81803D9925C8}</author>
    <author>tc={472EA5F1-1742-4A3D-BAE2-5ED12FEDC82A}</author>
  </authors>
  <commentList>
    <comment ref="A10" authorId="0" shapeId="0" xr:uid="{0DC1CFCC-8E87-4120-A5CE-81803D9925C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rajouter une condition ici liée à la trésorerie de sorte que s'il ya une valeur negative dans la trésorerie, le BFR est augmenté</t>
      </text>
    </comment>
    <comment ref="A16" authorId="1" shapeId="0" xr:uid="{472EA5F1-1742-4A3D-BAE2-5ED12FEDC82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remboursé à une échéance de plus de 1 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tc={B607EB17-4901-4E62-BEAA-0B5FCBFF568B}</author>
  </authors>
  <commentList>
    <comment ref="Q26" authorId="0" shapeId="0" xr:uid="{B607EB17-4901-4E62-BEAA-0B5FCBFF568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supposer dans tous les BP que le salaire est fixe ou évolue par pallier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tc={84C99116-3A25-46E8-BD38-B6495E59A964}</author>
    <author>tc={3D9764C8-0B18-4565-8A2A-9EFD50A27FA6}</author>
  </authors>
  <commentList>
    <comment ref="B13" authorId="0" shapeId="0" xr:uid="{84C99116-3A25-46E8-BD38-B6495E59A96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fixé à Zéro</t>
      </text>
    </comment>
    <comment ref="B14" authorId="1" shapeId="0" xr:uid="{3D9764C8-0B18-4565-8A2A-9EFD50A27FA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Tous les revenus obtenus sont reinvesti durant toute la durée du projet.</t>
      </text>
    </comment>
  </commentList>
</comments>
</file>

<file path=xl/sharedStrings.xml><?xml version="1.0" encoding="utf-8"?>
<sst xmlns="http://schemas.openxmlformats.org/spreadsheetml/2006/main" count="993" uniqueCount="469">
  <si>
    <t>Variables financières</t>
  </si>
  <si>
    <t>Emprunt à long terme</t>
  </si>
  <si>
    <t>Emprunt à court terme</t>
  </si>
  <si>
    <t>Montant</t>
  </si>
  <si>
    <t>Taux d'intérêt</t>
  </si>
  <si>
    <t xml:space="preserve">Emprunt </t>
  </si>
  <si>
    <t xml:space="preserve">Taux Annuel </t>
  </si>
  <si>
    <t xml:space="preserve">Taux effectif mensuel </t>
  </si>
  <si>
    <t xml:space="preserve">TOB </t>
  </si>
  <si>
    <t>Montant (FCFA)</t>
  </si>
  <si>
    <t>Durée</t>
  </si>
  <si>
    <t>Mois</t>
  </si>
  <si>
    <t xml:space="preserve">Mois </t>
  </si>
  <si>
    <t xml:space="preserve">CAPITAL RESTANT DU </t>
  </si>
  <si>
    <t>INTERET</t>
  </si>
  <si>
    <t>TOB</t>
  </si>
  <si>
    <t>Amortissement</t>
  </si>
  <si>
    <t>Mensualité</t>
  </si>
  <si>
    <t>Nb de mois</t>
  </si>
  <si>
    <t xml:space="preserve">DUREE </t>
  </si>
  <si>
    <t>ANS</t>
  </si>
  <si>
    <t>Année</t>
  </si>
  <si>
    <t xml:space="preserve">Annuité </t>
  </si>
  <si>
    <t>AN1</t>
  </si>
  <si>
    <t>AN2</t>
  </si>
  <si>
    <t>AN3</t>
  </si>
  <si>
    <t>1.</t>
  </si>
  <si>
    <t>Aménagement et batiments</t>
  </si>
  <si>
    <t>Véhicule administratif</t>
  </si>
  <si>
    <t>2.</t>
  </si>
  <si>
    <t>Mobilier et matériel de bureau</t>
  </si>
  <si>
    <t>Bureau (Fauteuil + table)</t>
  </si>
  <si>
    <t>3.</t>
  </si>
  <si>
    <t>Immobilisation incorporelles</t>
  </si>
  <si>
    <t>Caution et avance loyer</t>
  </si>
  <si>
    <t>Branchement Téléphone et internet</t>
  </si>
  <si>
    <t>Branchement CIE et SODECI</t>
  </si>
  <si>
    <t>Bail foncier</t>
  </si>
  <si>
    <t>Véhicules de bureau</t>
  </si>
  <si>
    <t>Nb</t>
  </si>
  <si>
    <t>Produit</t>
  </si>
  <si>
    <t>Qté</t>
  </si>
  <si>
    <t>Prix</t>
  </si>
  <si>
    <t>Type de charges</t>
  </si>
  <si>
    <t>Charge</t>
  </si>
  <si>
    <t xml:space="preserve">Quantité </t>
  </si>
  <si>
    <t>Achat de marchandises</t>
  </si>
  <si>
    <t>Achat de MP</t>
  </si>
  <si>
    <t xml:space="preserve">Frais Généraux </t>
  </si>
  <si>
    <t xml:space="preserve">Salaires et Avantages </t>
  </si>
  <si>
    <t>Energie/Electricité/ Eau</t>
  </si>
  <si>
    <t xml:space="preserve">Frais de transport </t>
  </si>
  <si>
    <t>Frais de communication</t>
  </si>
  <si>
    <t xml:space="preserve">Publicité et Marketing </t>
  </si>
  <si>
    <t>Location</t>
  </si>
  <si>
    <t>Assurance</t>
  </si>
  <si>
    <t xml:space="preserve">Prestations et Honoraires </t>
  </si>
  <si>
    <t xml:space="preserve">Autres provisions </t>
  </si>
  <si>
    <t>Taxe et redevance</t>
  </si>
  <si>
    <t>Action commerciale</t>
  </si>
  <si>
    <t>Chiffre d'affaires</t>
  </si>
  <si>
    <t>Ventes de marchandises</t>
  </si>
  <si>
    <t>Ventes de produits fabriqués</t>
  </si>
  <si>
    <t>Total Chiffre d'Affaires</t>
  </si>
  <si>
    <t>EBITDA</t>
  </si>
  <si>
    <t>Total charges d'exploitation</t>
  </si>
  <si>
    <t>Charges d'exploitation</t>
  </si>
  <si>
    <t>Marge brute</t>
  </si>
  <si>
    <t>N</t>
  </si>
  <si>
    <t>N+1</t>
  </si>
  <si>
    <t>N+2</t>
  </si>
  <si>
    <t>EBIT</t>
  </si>
  <si>
    <t>Taux de profitabilité</t>
  </si>
  <si>
    <t>Cash-flow</t>
  </si>
  <si>
    <t>Taux d'EBITDA</t>
  </si>
  <si>
    <t xml:space="preserve">Profit ou perte </t>
  </si>
  <si>
    <t>Résultat d'activité ordinaire</t>
  </si>
  <si>
    <t>Frais financier</t>
  </si>
  <si>
    <t>Résultat d'activité avant impôts</t>
  </si>
  <si>
    <t>Consommation intermédiaires</t>
  </si>
  <si>
    <t>Total consommation intermédiaires</t>
  </si>
  <si>
    <t>Impôt sur les entreprises</t>
  </si>
  <si>
    <t>VAN</t>
  </si>
  <si>
    <t>Ventes mensuelles</t>
  </si>
  <si>
    <t>Ventes Annuelles</t>
  </si>
  <si>
    <t>Type de produit</t>
  </si>
  <si>
    <t>Charges annuelles</t>
  </si>
  <si>
    <t>Charges mensuelles</t>
  </si>
  <si>
    <t xml:space="preserve">Frais indirects de transformation </t>
  </si>
  <si>
    <t>Frais indirects de vente</t>
  </si>
  <si>
    <t>Main d'œuvre directe transformation</t>
  </si>
  <si>
    <t>Main d'œuvre directe vente</t>
  </si>
  <si>
    <t>Vente de services</t>
  </si>
  <si>
    <t>Ventes d'autre produits</t>
  </si>
  <si>
    <t>Frais indirects de vente de services</t>
  </si>
  <si>
    <t>Main d'œuvre directe vente de services</t>
  </si>
  <si>
    <t>Total</t>
  </si>
  <si>
    <t>Compte de résultats</t>
  </si>
  <si>
    <t>Type d'immobilisation</t>
  </si>
  <si>
    <t>Immobilisation</t>
  </si>
  <si>
    <t>Amortissement Bureau</t>
  </si>
  <si>
    <t>Amortissement Exploitation</t>
  </si>
  <si>
    <t>MOIS</t>
  </si>
  <si>
    <t>RECETTES</t>
  </si>
  <si>
    <t>TOTAL DES RECETTES (2)</t>
  </si>
  <si>
    <t>INVESTISSEMENT</t>
  </si>
  <si>
    <t>Total investissement (3)</t>
  </si>
  <si>
    <t>SERVICES EXTERIEURS ET AUTRES CHARGES</t>
  </si>
  <si>
    <t>Remboursement estimé des emprunts à court terme</t>
  </si>
  <si>
    <t>Frais d'intérêt- Concours bancaires</t>
  </si>
  <si>
    <t>Salaires et charges sociales</t>
  </si>
  <si>
    <t>Remboursement estimé des emprunts à long terme</t>
  </si>
  <si>
    <t>Frais d'intérêt - Emprunts à long terme</t>
  </si>
  <si>
    <t>Total des remboursements (7)</t>
  </si>
  <si>
    <t>Total des dépenses (8) = (3) + (4) + (5) + (6) + (7)</t>
  </si>
  <si>
    <t xml:space="preserve">CA global </t>
  </si>
  <si>
    <t>Emprunt, subvention ou apport personnel obtenus</t>
  </si>
  <si>
    <t>ACHAT ET CHARGES ASSIMILEES</t>
  </si>
  <si>
    <t>Total des achats et charges assimilées (4)</t>
  </si>
  <si>
    <t>Services extérieurs</t>
  </si>
  <si>
    <t>Impôts et Taxes aux entreprises</t>
  </si>
  <si>
    <t>Total des services extérieurs et autres charges (6)</t>
  </si>
  <si>
    <t>SOLDE DE FIN DE PERIODE (9) = (1)+(2)-(8)</t>
  </si>
  <si>
    <t>Capital restant</t>
  </si>
  <si>
    <t xml:space="preserve">Année </t>
  </si>
  <si>
    <t>Financement</t>
  </si>
  <si>
    <t>CAF</t>
  </si>
  <si>
    <t>Total Cash Flow</t>
  </si>
  <si>
    <t xml:space="preserve">Valeur Actuelle </t>
  </si>
  <si>
    <t>VAN Cumulée</t>
  </si>
  <si>
    <t>SOLDE DE TRESORERIE AU DÉBUT DE PERIODE (1)</t>
  </si>
  <si>
    <t>ANNEE</t>
  </si>
  <si>
    <t>TRI</t>
  </si>
  <si>
    <t>Délai de récupération</t>
  </si>
  <si>
    <t>Taux de rendement</t>
  </si>
  <si>
    <t>Montant en FCFA</t>
  </si>
  <si>
    <t>Actif</t>
  </si>
  <si>
    <t>Net</t>
  </si>
  <si>
    <t>Actifs immobilisés</t>
  </si>
  <si>
    <t>Actif circulant</t>
  </si>
  <si>
    <t>Passif</t>
  </si>
  <si>
    <t>Capitaux et résultat</t>
  </si>
  <si>
    <t>Résultat net</t>
  </si>
  <si>
    <t>Capital et avoir des actionnaires</t>
  </si>
  <si>
    <t>Report à nouveau</t>
  </si>
  <si>
    <t>Dettes financières</t>
  </si>
  <si>
    <t>Dettes à long terme</t>
  </si>
  <si>
    <t>Passif circulant</t>
  </si>
  <si>
    <t>Immobilisations corporelles  bâtiment</t>
  </si>
  <si>
    <t>Immobilisation corporelle véhicules</t>
  </si>
  <si>
    <t>Autres immobilisations corporelles matériel de travail</t>
  </si>
  <si>
    <t>4.</t>
  </si>
  <si>
    <t>Apport initial (Compte courant)</t>
  </si>
  <si>
    <t>Changé la référence à l'année</t>
  </si>
  <si>
    <t>Les amortissements de la période sont déduits du net de la période précedente.</t>
  </si>
  <si>
    <t>La formule n'avait pas été copiée sur n1 et n2</t>
  </si>
  <si>
    <t>Nom</t>
  </si>
  <si>
    <t>Type de financement</t>
  </si>
  <si>
    <t>Code financement</t>
  </si>
  <si>
    <t>COMPTE DE RESULTATS SYSCOHADA</t>
  </si>
  <si>
    <t>COMPTE DE RESULTATS IFRS</t>
  </si>
  <si>
    <t>Année 1</t>
  </si>
  <si>
    <t>Année 2</t>
  </si>
  <si>
    <t>CODE</t>
  </si>
  <si>
    <t>VALEUR ACTUALISEE NETTE</t>
  </si>
  <si>
    <t>EMP1</t>
  </si>
  <si>
    <t>EMP2</t>
  </si>
  <si>
    <t>EMP3</t>
  </si>
  <si>
    <t>VEN1</t>
  </si>
  <si>
    <t>VEN2</t>
  </si>
  <si>
    <t>VEN3</t>
  </si>
  <si>
    <t>VEN4</t>
  </si>
  <si>
    <t>AMA1</t>
  </si>
  <si>
    <t>AMA2</t>
  </si>
  <si>
    <t>MOD1</t>
  </si>
  <si>
    <t>MOD2</t>
  </si>
  <si>
    <t>MOD3</t>
  </si>
  <si>
    <t>FIF1</t>
  </si>
  <si>
    <t>FIF2</t>
  </si>
  <si>
    <t>FIF3</t>
  </si>
  <si>
    <t>SAV1</t>
  </si>
  <si>
    <t>TXR1</t>
  </si>
  <si>
    <t>IMP1</t>
  </si>
  <si>
    <t>MKT1</t>
  </si>
  <si>
    <t>FG1</t>
  </si>
  <si>
    <t>EEE1</t>
  </si>
  <si>
    <t>FT1</t>
  </si>
  <si>
    <t>MKT2</t>
  </si>
  <si>
    <t>FKT3</t>
  </si>
  <si>
    <t>LOC1</t>
  </si>
  <si>
    <t>ASS1</t>
  </si>
  <si>
    <t>PH1</t>
  </si>
  <si>
    <t>APR1</t>
  </si>
  <si>
    <t>AMR2</t>
  </si>
  <si>
    <t>AMR1</t>
  </si>
  <si>
    <t>Coût des Marchandises et services vendue</t>
  </si>
  <si>
    <t>Taux de Marge brute</t>
  </si>
  <si>
    <t>Total Revenu</t>
  </si>
  <si>
    <t>Charges financières</t>
  </si>
  <si>
    <t>Amortissement et dépréciation</t>
  </si>
  <si>
    <t>Total des charges</t>
  </si>
  <si>
    <t>Résultat av. Impôt</t>
  </si>
  <si>
    <t>Instructions:</t>
  </si>
  <si>
    <t>1. Remplir les données concernant les "variables principales". Les calculs se font automatiquement.</t>
  </si>
  <si>
    <t>2. Remplir les informations sur le promoteur aux pages 1 et 3.</t>
  </si>
  <si>
    <t>3. Imprimer</t>
  </si>
  <si>
    <t>Table des matières</t>
  </si>
  <si>
    <t>RÉSUMÉ DU PROJET</t>
  </si>
  <si>
    <t>DESCRIPTION DU PROJET</t>
  </si>
  <si>
    <t>MOYENS MATÉRIELS ET HUMAINS</t>
  </si>
  <si>
    <t>PROGRAMME DE RÉALISATION</t>
  </si>
  <si>
    <t>DESCRIPTION DU MARCHE</t>
  </si>
  <si>
    <t>5.</t>
  </si>
  <si>
    <t>ÉTUDE FINANCIÈRE ET PLAN DE FINANCEMENT</t>
  </si>
  <si>
    <t>5.1</t>
  </si>
  <si>
    <t>Investissements</t>
  </si>
  <si>
    <t>5.2</t>
  </si>
  <si>
    <t>Fonds de Roulement</t>
  </si>
  <si>
    <t>5.3</t>
  </si>
  <si>
    <t>Récapitulatif des besoins de financement</t>
  </si>
  <si>
    <t>5.4</t>
  </si>
  <si>
    <t>Prévision des recettes</t>
  </si>
  <si>
    <t>6.</t>
  </si>
  <si>
    <t>LES CHARGES D’EXPLOITATION</t>
  </si>
  <si>
    <t>6.1</t>
  </si>
  <si>
    <t>Achats, services extérieurs et autres charges</t>
  </si>
  <si>
    <t>6.2</t>
  </si>
  <si>
    <t>Impôts annuels et frais financiers</t>
  </si>
  <si>
    <t>6.3</t>
  </si>
  <si>
    <t>Tableau d’amortissement financier</t>
  </si>
  <si>
    <t>7.</t>
  </si>
  <si>
    <t>COMPTE D’EXPLOITATION PRÉVISIONNEL</t>
  </si>
  <si>
    <t>7.1</t>
  </si>
  <si>
    <t>Tableau du compte d’exploitation</t>
  </si>
  <si>
    <t>7.2</t>
  </si>
  <si>
    <t>Budget de trésorerie mensuelle</t>
  </si>
  <si>
    <t>7.3</t>
  </si>
  <si>
    <t>Plan de Trésorerie annuelle</t>
  </si>
  <si>
    <t>7.4</t>
  </si>
  <si>
    <t>Bilan annuel prévisionnel</t>
  </si>
  <si>
    <t>NOM DU BÉNÉFICIAIRE :</t>
  </si>
  <si>
    <t xml:space="preserve">Ce simulateur de business plan s'adresse principalement aux promotteurs qui souhaitent vendre en gros des vêtements, des matériaux de construction, des voitures… Il reprend un circuit classique d'importation par container et de revente du contenu du container aux clients grossistes. </t>
  </si>
  <si>
    <t>Année 3</t>
  </si>
  <si>
    <t>Année 4</t>
  </si>
  <si>
    <t>Année 5</t>
  </si>
  <si>
    <t>Financement total requis</t>
  </si>
  <si>
    <t>Capital initial</t>
  </si>
  <si>
    <t>Durée (mois)</t>
  </si>
  <si>
    <t>Taux</t>
  </si>
  <si>
    <t xml:space="preserve">Emprunt à long terme à solliciter </t>
  </si>
  <si>
    <t>Durée (année)</t>
  </si>
  <si>
    <t>Annuité</t>
  </si>
  <si>
    <t>CA Estimé</t>
  </si>
  <si>
    <t>Profit</t>
  </si>
  <si>
    <t>A compléter.</t>
  </si>
  <si>
    <t>Rubrique</t>
  </si>
  <si>
    <t>Rubriques</t>
  </si>
  <si>
    <t>Emprunt</t>
  </si>
  <si>
    <t>Emplois</t>
  </si>
  <si>
    <t>Charges d’exploitation</t>
  </si>
  <si>
    <t>Besoin global de financement</t>
  </si>
  <si>
    <t>Ressources</t>
  </si>
  <si>
    <t>Crédit d’investissement</t>
  </si>
  <si>
    <t>Crédit de trésorerie</t>
  </si>
  <si>
    <t>Total des ressources</t>
  </si>
  <si>
    <t>Total des ressources en pourcentage</t>
  </si>
  <si>
    <t>Années</t>
  </si>
  <si>
    <t>An 1</t>
  </si>
  <si>
    <t xml:space="preserve">An 2 </t>
  </si>
  <si>
    <t>An 3</t>
  </si>
  <si>
    <t>An 4</t>
  </si>
  <si>
    <t>An 5</t>
  </si>
  <si>
    <t>AN 1</t>
  </si>
  <si>
    <t>AN 2</t>
  </si>
  <si>
    <t>AN 3</t>
  </si>
  <si>
    <t>AN 4</t>
  </si>
  <si>
    <t>AN 5</t>
  </si>
  <si>
    <t>An 2</t>
  </si>
  <si>
    <t>Intérêts crédits</t>
  </si>
  <si>
    <t>Taxes et impôts annuels</t>
  </si>
  <si>
    <t>F CFA</t>
  </si>
  <si>
    <t>Capit. à Rembours.</t>
  </si>
  <si>
    <t>Intérêts</t>
  </si>
  <si>
    <t>Amortis. du capital</t>
  </si>
  <si>
    <t>SOLDE DE TRÉSORERIE AU DÉBUT DE L’ANNÉE (1)</t>
  </si>
  <si>
    <t>ACHAT</t>
  </si>
  <si>
    <t>Total des achats (4)</t>
  </si>
  <si>
    <t>SERVICES EXTÉRIEURS ET AUTRES CHARGES</t>
  </si>
  <si>
    <t>Total des services extérieurs (5)</t>
  </si>
  <si>
    <t>Total Salaires et charges sociales (6)</t>
  </si>
  <si>
    <t>Total des impôts et taxes aux entreprises (6)</t>
  </si>
  <si>
    <t>Solde de fin de période (9) = (1)+(2)-(8)</t>
  </si>
  <si>
    <t>Variables principales pour le client final</t>
  </si>
  <si>
    <t>TOTAL</t>
  </si>
  <si>
    <t>CODE FINANCEMENT</t>
  </si>
  <si>
    <t>TABLEAU D'AMORTISSEMENT EMPRUNT A COURT TERME</t>
  </si>
  <si>
    <t>TABLEAU D'AMORTISSEMENT APPORT INITIAL</t>
  </si>
  <si>
    <t>N+3</t>
  </si>
  <si>
    <t>N+4</t>
  </si>
  <si>
    <t>N+5</t>
  </si>
  <si>
    <t>N+6</t>
  </si>
  <si>
    <t>Emprunt à court terme (BFR, achat…)</t>
  </si>
  <si>
    <t>VAN sur 5 ans</t>
  </si>
  <si>
    <t>TRI sur 5 ans</t>
  </si>
  <si>
    <t>Nb mois</t>
  </si>
  <si>
    <t>Montant Un.</t>
  </si>
  <si>
    <t>Apport
personnel</t>
  </si>
  <si>
    <t>%</t>
  </si>
  <si>
    <t>Dépenses d'exploitation</t>
  </si>
  <si>
    <t>Dénomination</t>
  </si>
  <si>
    <t>Les investissements prévus dans cadre de ce projet sont les suivants :</t>
  </si>
  <si>
    <t>Indiquer tous les types de ressources humaines, leur postes, leur catégorie socio professionnel, leur salaire</t>
  </si>
  <si>
    <t>Designation</t>
  </si>
  <si>
    <r>
      <t>Ø</t>
    </r>
    <r>
      <rPr>
        <sz val="7"/>
        <color rgb="FF000000"/>
        <rFont val="Arial"/>
        <family val="2"/>
      </rPr>
      <t xml:space="preserve">  </t>
    </r>
    <r>
      <rPr>
        <sz val="11"/>
        <color rgb="FF000000"/>
        <rFont val="Arial"/>
        <family val="2"/>
      </rPr>
      <t xml:space="preserve">Nom et prénoms : </t>
    </r>
  </si>
  <si>
    <r>
      <t>Ø</t>
    </r>
    <r>
      <rPr>
        <sz val="7"/>
        <color rgb="FF000000"/>
        <rFont val="Arial"/>
        <family val="2"/>
      </rPr>
      <t xml:space="preserve">  </t>
    </r>
    <r>
      <rPr>
        <sz val="11"/>
        <color rgb="FF000000"/>
        <rFont val="Arial"/>
        <family val="2"/>
      </rPr>
      <t>Date et lieu de naissance :</t>
    </r>
  </si>
  <si>
    <r>
      <t>Ø</t>
    </r>
    <r>
      <rPr>
        <sz val="7"/>
        <color rgb="FF000000"/>
        <rFont val="Arial"/>
        <family val="2"/>
      </rPr>
      <t xml:space="preserve">  </t>
    </r>
    <r>
      <rPr>
        <sz val="11"/>
        <color rgb="FF000000"/>
        <rFont val="Arial"/>
        <family val="2"/>
      </rPr>
      <t>Sexe :</t>
    </r>
  </si>
  <si>
    <r>
      <t>Ø</t>
    </r>
    <r>
      <rPr>
        <sz val="7"/>
        <color rgb="FF000000"/>
        <rFont val="Arial"/>
        <family val="2"/>
      </rPr>
      <t xml:space="preserve">  </t>
    </r>
    <r>
      <rPr>
        <sz val="11"/>
        <color rgb="FF000000"/>
        <rFont val="Arial"/>
        <family val="2"/>
      </rPr>
      <t>Situation Matrimoniale :</t>
    </r>
  </si>
  <si>
    <r>
      <t>Ø</t>
    </r>
    <r>
      <rPr>
        <sz val="7"/>
        <color rgb="FF000000"/>
        <rFont val="Arial"/>
        <family val="2"/>
      </rPr>
      <t xml:space="preserve">  </t>
    </r>
    <r>
      <rPr>
        <sz val="11"/>
        <color rgb="FF000000"/>
        <rFont val="Arial"/>
        <family val="2"/>
      </rPr>
      <t>Niveau d’étude et diplôme :</t>
    </r>
  </si>
  <si>
    <r>
      <t>Ø</t>
    </r>
    <r>
      <rPr>
        <sz val="7"/>
        <color rgb="FF000000"/>
        <rFont val="Arial"/>
        <family val="2"/>
      </rPr>
      <t xml:space="preserve">  </t>
    </r>
    <r>
      <rPr>
        <sz val="11"/>
        <color rgb="FF000000"/>
        <rFont val="Arial"/>
        <family val="2"/>
      </rPr>
      <t xml:space="preserve">Téléphone : </t>
    </r>
  </si>
  <si>
    <r>
      <t>Ø</t>
    </r>
    <r>
      <rPr>
        <sz val="7"/>
        <color rgb="FF000000"/>
        <rFont val="Arial"/>
        <family val="2"/>
      </rPr>
      <t xml:space="preserve">  </t>
    </r>
    <r>
      <rPr>
        <sz val="11"/>
        <color rgb="FF000000"/>
        <rFont val="Arial"/>
        <family val="2"/>
      </rPr>
      <t>Adresse géographique :</t>
    </r>
  </si>
  <si>
    <r>
      <t>1.</t>
    </r>
    <r>
      <rPr>
        <b/>
        <sz val="7"/>
        <color theme="1"/>
        <rFont val="Arial"/>
        <family val="2"/>
      </rPr>
      <t xml:space="preserve">    </t>
    </r>
    <r>
      <rPr>
        <b/>
        <sz val="12"/>
        <color theme="1"/>
        <rFont val="Arial"/>
        <family val="2"/>
      </rPr>
      <t>DESCRIPTION DU PROJET</t>
    </r>
  </si>
  <si>
    <r>
      <t>2.</t>
    </r>
    <r>
      <rPr>
        <b/>
        <sz val="7"/>
        <color theme="1"/>
        <rFont val="Arial"/>
        <family val="2"/>
      </rPr>
      <t xml:space="preserve">    </t>
    </r>
    <r>
      <rPr>
        <b/>
        <sz val="12"/>
        <color theme="1"/>
        <rFont val="Arial"/>
        <family val="2"/>
      </rPr>
      <t>MOYENS MATÉRIELS &amp; HUMAINS</t>
    </r>
  </si>
  <si>
    <r>
      <t>2.1</t>
    </r>
    <r>
      <rPr>
        <b/>
        <sz val="7"/>
        <color theme="1"/>
        <rFont val="Arial"/>
        <family val="2"/>
      </rPr>
      <t xml:space="preserve">   </t>
    </r>
    <r>
      <rPr>
        <b/>
        <sz val="12"/>
        <color theme="1"/>
        <rFont val="Arial"/>
        <family val="2"/>
      </rPr>
      <t>MOYENS MATÉRIELS</t>
    </r>
  </si>
  <si>
    <r>
      <t>2.2</t>
    </r>
    <r>
      <rPr>
        <b/>
        <sz val="7"/>
        <color theme="1"/>
        <rFont val="Arial"/>
        <family val="2"/>
      </rPr>
      <t xml:space="preserve">    </t>
    </r>
    <r>
      <rPr>
        <b/>
        <sz val="12"/>
        <color theme="1"/>
        <rFont val="Arial"/>
        <family val="2"/>
      </rPr>
      <t>MOYENS HUMAINS</t>
    </r>
  </si>
  <si>
    <r>
      <t>3.</t>
    </r>
    <r>
      <rPr>
        <b/>
        <sz val="7"/>
        <color theme="1"/>
        <rFont val="Arial"/>
        <family val="2"/>
      </rPr>
      <t xml:space="preserve">    </t>
    </r>
    <r>
      <rPr>
        <b/>
        <sz val="12"/>
        <color theme="1"/>
        <rFont val="Arial"/>
        <family val="2"/>
      </rPr>
      <t>PROGRAMME DE RÉALISATION</t>
    </r>
  </si>
  <si>
    <r>
      <t>4.</t>
    </r>
    <r>
      <rPr>
        <b/>
        <sz val="7"/>
        <color theme="1"/>
        <rFont val="Arial"/>
        <family val="2"/>
      </rPr>
      <t xml:space="preserve">    </t>
    </r>
    <r>
      <rPr>
        <b/>
        <sz val="12"/>
        <color theme="1"/>
        <rFont val="Arial"/>
        <family val="2"/>
      </rPr>
      <t>DESCRIPTION DU MARCHE</t>
    </r>
  </si>
  <si>
    <r>
      <t>5.</t>
    </r>
    <r>
      <rPr>
        <b/>
        <sz val="7"/>
        <color theme="1"/>
        <rFont val="Arial"/>
        <family val="2"/>
      </rPr>
      <t xml:space="preserve">    </t>
    </r>
    <r>
      <rPr>
        <b/>
        <sz val="12"/>
        <color theme="1"/>
        <rFont val="Arial"/>
        <family val="2"/>
      </rPr>
      <t>ÉTUDE FINANCIÈRE ET PLAN DE FINANCEMENT</t>
    </r>
  </si>
  <si>
    <r>
      <t>5.1</t>
    </r>
    <r>
      <rPr>
        <b/>
        <sz val="7"/>
        <color theme="1"/>
        <rFont val="Arial"/>
        <family val="2"/>
      </rPr>
      <t xml:space="preserve">   </t>
    </r>
    <r>
      <rPr>
        <b/>
        <sz val="12"/>
        <color theme="1"/>
        <rFont val="Arial"/>
        <family val="2"/>
      </rPr>
      <t>Fonds de Roulement</t>
    </r>
  </si>
  <si>
    <r>
      <t>5.3</t>
    </r>
    <r>
      <rPr>
        <b/>
        <sz val="7"/>
        <color theme="1"/>
        <rFont val="Arial"/>
        <family val="2"/>
      </rPr>
      <t xml:space="preserve">   </t>
    </r>
    <r>
      <rPr>
        <b/>
        <sz val="12"/>
        <color theme="1"/>
        <rFont val="Arial"/>
        <family val="2"/>
      </rPr>
      <t>Récapitulatif des besoins de financement</t>
    </r>
  </si>
  <si>
    <r>
      <t>5.4</t>
    </r>
    <r>
      <rPr>
        <b/>
        <sz val="7"/>
        <color theme="1"/>
        <rFont val="Arial"/>
        <family val="2"/>
      </rPr>
      <t xml:space="preserve">   </t>
    </r>
    <r>
      <rPr>
        <b/>
        <sz val="12"/>
        <color theme="1"/>
        <rFont val="Arial"/>
        <family val="2"/>
      </rPr>
      <t>Prévision des recettes</t>
    </r>
  </si>
  <si>
    <r>
      <t>Hypothèse d’évolution des volumes en année</t>
    </r>
    <r>
      <rPr>
        <b/>
        <sz val="11"/>
        <color rgb="FFFFC000"/>
        <rFont val="Arial"/>
        <family val="2"/>
      </rPr>
      <t> </t>
    </r>
  </si>
  <si>
    <r>
      <t>6.</t>
    </r>
    <r>
      <rPr>
        <b/>
        <sz val="7"/>
        <color theme="1"/>
        <rFont val="Arial"/>
        <family val="2"/>
      </rPr>
      <t xml:space="preserve">    </t>
    </r>
    <r>
      <rPr>
        <b/>
        <sz val="12"/>
        <color theme="1"/>
        <rFont val="Arial"/>
        <family val="2"/>
      </rPr>
      <t>LES CHARGES D’EXPLOITATION</t>
    </r>
  </si>
  <si>
    <r>
      <t>6.1</t>
    </r>
    <r>
      <rPr>
        <b/>
        <sz val="7"/>
        <color theme="1"/>
        <rFont val="Arial"/>
        <family val="2"/>
      </rPr>
      <t xml:space="preserve">   </t>
    </r>
    <r>
      <rPr>
        <b/>
        <sz val="12"/>
        <color theme="1"/>
        <rFont val="Arial"/>
        <family val="2"/>
      </rPr>
      <t>Achats, services extérieurs et autres charges</t>
    </r>
  </si>
  <si>
    <r>
      <t>6.2</t>
    </r>
    <r>
      <rPr>
        <b/>
        <sz val="7"/>
        <color theme="1"/>
        <rFont val="Arial"/>
        <family val="2"/>
      </rPr>
      <t xml:space="preserve">   </t>
    </r>
    <r>
      <rPr>
        <b/>
        <sz val="12"/>
        <color theme="1"/>
        <rFont val="Arial"/>
        <family val="2"/>
      </rPr>
      <t>Frais financiers et impôts</t>
    </r>
  </si>
  <si>
    <r>
      <t>6.3</t>
    </r>
    <r>
      <rPr>
        <b/>
        <sz val="7"/>
        <color theme="1"/>
        <rFont val="Arial"/>
        <family val="2"/>
      </rPr>
      <t xml:space="preserve">   </t>
    </r>
    <r>
      <rPr>
        <b/>
        <sz val="12"/>
        <color theme="1"/>
        <rFont val="Arial"/>
        <family val="2"/>
      </rPr>
      <t>Tableau d’Amortissement des Immobilisations</t>
    </r>
  </si>
  <si>
    <r>
      <t>6.4</t>
    </r>
    <r>
      <rPr>
        <b/>
        <sz val="7"/>
        <color theme="1"/>
        <rFont val="Arial"/>
        <family val="2"/>
      </rPr>
      <t xml:space="preserve">   </t>
    </r>
    <r>
      <rPr>
        <b/>
        <sz val="12"/>
        <color theme="1"/>
        <rFont val="Arial"/>
        <family val="2"/>
      </rPr>
      <t>Tableau d’amortissement financier</t>
    </r>
  </si>
  <si>
    <r>
      <t>·</t>
    </r>
    <r>
      <rPr>
        <sz val="7"/>
        <color theme="1"/>
        <rFont val="Arial"/>
        <family val="2"/>
      </rPr>
      <t xml:space="preserve">         </t>
    </r>
    <r>
      <rPr>
        <sz val="11"/>
        <color theme="1"/>
        <rFont val="Arial"/>
        <family val="2"/>
      </rPr>
      <t>Montant de l’emprunt à long terme est de</t>
    </r>
  </si>
  <si>
    <r>
      <t>·</t>
    </r>
    <r>
      <rPr>
        <sz val="7"/>
        <color theme="1"/>
        <rFont val="Arial"/>
        <family val="2"/>
      </rPr>
      <t xml:space="preserve">         </t>
    </r>
    <r>
      <rPr>
        <sz val="11"/>
        <color theme="1"/>
        <rFont val="Arial"/>
        <family val="2"/>
      </rPr>
      <t>Taux d’intérêt</t>
    </r>
  </si>
  <si>
    <r>
      <t>·</t>
    </r>
    <r>
      <rPr>
        <sz val="7"/>
        <color theme="1"/>
        <rFont val="Arial"/>
        <family val="2"/>
      </rPr>
      <t xml:space="preserve">         </t>
    </r>
    <r>
      <rPr>
        <sz val="11"/>
        <color theme="1"/>
        <rFont val="Arial"/>
        <family val="2"/>
      </rPr>
      <t>Durée de l’emprunt</t>
    </r>
  </si>
  <si>
    <r>
      <t>·</t>
    </r>
    <r>
      <rPr>
        <sz val="7"/>
        <color theme="1"/>
        <rFont val="Arial"/>
        <family val="2"/>
      </rPr>
      <t xml:space="preserve">         </t>
    </r>
    <r>
      <rPr>
        <sz val="11"/>
        <color theme="1"/>
        <rFont val="Arial"/>
        <family val="2"/>
      </rPr>
      <t>Montant de l’emprunt à court terme est de</t>
    </r>
  </si>
  <si>
    <r>
      <t>7.</t>
    </r>
    <r>
      <rPr>
        <b/>
        <sz val="7"/>
        <color theme="1"/>
        <rFont val="Arial"/>
        <family val="2"/>
      </rPr>
      <t xml:space="preserve">    </t>
    </r>
    <r>
      <rPr>
        <b/>
        <sz val="12"/>
        <color theme="1"/>
        <rFont val="Arial"/>
        <family val="2"/>
      </rPr>
      <t>COMPTE D’EXPLOITATION PRÉVISIONNEL</t>
    </r>
  </si>
  <si>
    <r>
      <t>7.1</t>
    </r>
    <r>
      <rPr>
        <b/>
        <sz val="7"/>
        <color theme="1"/>
        <rFont val="Arial"/>
        <family val="2"/>
      </rPr>
      <t xml:space="preserve">   </t>
    </r>
    <r>
      <rPr>
        <b/>
        <sz val="12"/>
        <color theme="1"/>
        <rFont val="Arial"/>
        <family val="2"/>
      </rPr>
      <t>Tableau du compte d’exploitation</t>
    </r>
  </si>
  <si>
    <r>
      <t>7.2</t>
    </r>
    <r>
      <rPr>
        <b/>
        <sz val="7"/>
        <color theme="1"/>
        <rFont val="Arial"/>
        <family val="2"/>
      </rPr>
      <t xml:space="preserve">   </t>
    </r>
    <r>
      <rPr>
        <b/>
        <sz val="12"/>
        <color theme="1"/>
        <rFont val="Arial"/>
        <family val="2"/>
      </rPr>
      <t>Budget de trésorerie mensuelle</t>
    </r>
  </si>
  <si>
    <r>
      <t>7.3</t>
    </r>
    <r>
      <rPr>
        <b/>
        <sz val="7"/>
        <color theme="1"/>
        <rFont val="Arial"/>
        <family val="2"/>
      </rPr>
      <t xml:space="preserve">   </t>
    </r>
    <r>
      <rPr>
        <b/>
        <sz val="12"/>
        <color theme="1"/>
        <rFont val="Arial"/>
        <family val="2"/>
      </rPr>
      <t>Plan de Trésorerie annuelle</t>
    </r>
  </si>
  <si>
    <r>
      <t>7.4</t>
    </r>
    <r>
      <rPr>
        <b/>
        <sz val="7"/>
        <color theme="1"/>
        <rFont val="Arial"/>
        <family val="2"/>
      </rPr>
      <t xml:space="preserve">   </t>
    </r>
    <r>
      <rPr>
        <b/>
        <sz val="12"/>
        <color theme="1"/>
        <rFont val="Arial"/>
        <family val="2"/>
      </rPr>
      <t>Bilan annuel prévisionnel</t>
    </r>
  </si>
  <si>
    <t>Compte de résultats modèle SYSCOHADA</t>
  </si>
  <si>
    <t xml:space="preserve">ou </t>
  </si>
  <si>
    <t>Compte de résultats modèle IFRS</t>
  </si>
  <si>
    <t>EMP4</t>
  </si>
  <si>
    <t xml:space="preserve">Les ressources humaines necessaires à la réalisation du projet seront composée de : </t>
  </si>
  <si>
    <t>DESIGNATION</t>
  </si>
  <si>
    <t>BILAN</t>
  </si>
  <si>
    <t>BESOIN EN FONDS DE ROULEMENT</t>
  </si>
  <si>
    <t>TRESORERIE ANNUELLE</t>
  </si>
  <si>
    <t>TRESORERIE MENSUELLE</t>
  </si>
  <si>
    <t>CHARGES INDIRECTES</t>
  </si>
  <si>
    <t>FACTEURS DE VARIATION CHARGES INDIRECTS</t>
  </si>
  <si>
    <t>VENTES</t>
  </si>
  <si>
    <t>FACTEURS DE VARIATION VENTES</t>
  </si>
  <si>
    <t>LISTES DES VENTES</t>
  </si>
  <si>
    <t>FACTEURS DE VARIATION INVESTISSEMENT</t>
  </si>
  <si>
    <t>INVESTISSEMENTS</t>
  </si>
  <si>
    <t>LISTE DES INVESTISSEMENTS</t>
  </si>
  <si>
    <t>LISTE DES CHARGES DIRECTES ET INDIRECTES</t>
  </si>
  <si>
    <t>FACTEURS DE VARIATION AMORTISSEMENT FINANCIER</t>
  </si>
  <si>
    <t>Aménagement entrepôt</t>
  </si>
  <si>
    <t>Véhicules de liaison</t>
  </si>
  <si>
    <t>Ordinateur PRO</t>
  </si>
  <si>
    <t>Serveur</t>
  </si>
  <si>
    <t>CANON EOS 80 D + objectif 18-135mm IS USM</t>
  </si>
  <si>
    <t>Boîtier Canon EOS 5D Mark IV</t>
  </si>
  <si>
    <t>Photocopieuse + Imprimante</t>
  </si>
  <si>
    <t>CA de Tenue de luxe Homme</t>
  </si>
  <si>
    <t>CA de Tenue de luxe Femme</t>
  </si>
  <si>
    <t>CA de Prêt-à-porter homme</t>
  </si>
  <si>
    <t>CA de Prêt-à-porter femme</t>
  </si>
  <si>
    <t>Achat de Tenue de luxe Homme</t>
  </si>
  <si>
    <t>Achat de Tenue de luxe Femme</t>
  </si>
  <si>
    <t>Achat de Prêt-à-porter homme</t>
  </si>
  <si>
    <t>Achat de Prêt-à-porter femme</t>
  </si>
  <si>
    <t>Logistique Tenue de luxe Homme</t>
  </si>
  <si>
    <t>Logistique Prêt-à-porter femme</t>
  </si>
  <si>
    <t>Logistique Prêt-à-porter homme</t>
  </si>
  <si>
    <t>Logistique Tenue de luxe Femme</t>
  </si>
  <si>
    <t>Stockage Tenue de luxe Homme</t>
  </si>
  <si>
    <t>Stockage Tenue de luxe Femme</t>
  </si>
  <si>
    <t>Stockage Prêt-à-porter homme</t>
  </si>
  <si>
    <t>Stockage Prêt-à-porter femme</t>
  </si>
  <si>
    <t>Commission MP Tenue de luxe Homme</t>
  </si>
  <si>
    <t>Commission MP Tenue de luxe Femme</t>
  </si>
  <si>
    <t>Commission MP Prêt-à-porter homme</t>
  </si>
  <si>
    <t>Commission MP Prêt-à-porter femme</t>
  </si>
  <si>
    <t>Salaire personnel</t>
  </si>
  <si>
    <t>Timbre</t>
  </si>
  <si>
    <t>BIC</t>
  </si>
  <si>
    <t>Sponsoring page réseaux sociaux</t>
  </si>
  <si>
    <t>Frais administration</t>
  </si>
  <si>
    <t>Eau</t>
  </si>
  <si>
    <t>Carburant</t>
  </si>
  <si>
    <t>Telephone / Internet</t>
  </si>
  <si>
    <t>Loyer</t>
  </si>
  <si>
    <t>Assurance voiture</t>
  </si>
  <si>
    <t>Frais Infogérance</t>
  </si>
  <si>
    <t>Amortissement équipement.</t>
  </si>
  <si>
    <t>Liens entre les feuilles de calcul</t>
  </si>
  <si>
    <t>{var_1}</t>
  </si>
  <si>
    <t>{var_2}</t>
  </si>
  <si>
    <t>{var_3}</t>
  </si>
  <si>
    <t>{var_4}</t>
  </si>
  <si>
    <t>{var_5}</t>
  </si>
  <si>
    <t>{var_6}</t>
  </si>
  <si>
    <t>{var_7}</t>
  </si>
  <si>
    <t>{var_8}</t>
  </si>
  <si>
    <t>{var_9}</t>
  </si>
  <si>
    <t>{var_10}</t>
  </si>
  <si>
    <t>{var_12}</t>
  </si>
  <si>
    <t>{var_13}</t>
  </si>
  <si>
    <t>{var_14}</t>
  </si>
  <si>
    <t>{var_31}</t>
  </si>
  <si>
    <t>{var_48}</t>
  </si>
  <si>
    <t>{var_15}</t>
  </si>
  <si>
    <t>{var_32}</t>
  </si>
  <si>
    <t>{var_49}</t>
  </si>
  <si>
    <t>{var_16}</t>
  </si>
  <si>
    <t>{var_33}</t>
  </si>
  <si>
    <t>{var_50}</t>
  </si>
  <si>
    <t>{var_17}</t>
  </si>
  <si>
    <t>{var_34}</t>
  </si>
  <si>
    <t>{var_51}</t>
  </si>
  <si>
    <t>{var_18}</t>
  </si>
  <si>
    <t>{var_35}</t>
  </si>
  <si>
    <t>{var_52}</t>
  </si>
  <si>
    <t>{var_19}</t>
  </si>
  <si>
    <t>{var_36}</t>
  </si>
  <si>
    <t>{var_53}</t>
  </si>
  <si>
    <t>{var_20}</t>
  </si>
  <si>
    <t>{var_37}</t>
  </si>
  <si>
    <t>{var_54}</t>
  </si>
  <si>
    <t>{var_21}</t>
  </si>
  <si>
    <t>{var_38}</t>
  </si>
  <si>
    <t>{var_55}</t>
  </si>
  <si>
    <t>{var_22}</t>
  </si>
  <si>
    <t>{var_39}</t>
  </si>
  <si>
    <t>{var_56}</t>
  </si>
  <si>
    <t>{var_23}</t>
  </si>
  <si>
    <t>{var_40}</t>
  </si>
  <si>
    <t>{var_57}</t>
  </si>
  <si>
    <t>{var_24}</t>
  </si>
  <si>
    <t>{var_41}</t>
  </si>
  <si>
    <t>{var_58}</t>
  </si>
  <si>
    <t>{var_25}</t>
  </si>
  <si>
    <t>{var_42}</t>
  </si>
  <si>
    <t>{var_59}</t>
  </si>
  <si>
    <t>{var_26}</t>
  </si>
  <si>
    <t>{var_43}</t>
  </si>
  <si>
    <t>{var_60}</t>
  </si>
  <si>
    <t>{var_27}</t>
  </si>
  <si>
    <t>{var_44}</t>
  </si>
  <si>
    <t>{var_61}</t>
  </si>
  <si>
    <t>{var_28}</t>
  </si>
  <si>
    <t>{var_45}</t>
  </si>
  <si>
    <t>{var_62}</t>
  </si>
  <si>
    <t>{var_29}</t>
  </si>
  <si>
    <t>{var_46}</t>
  </si>
  <si>
    <t>{var_63}</t>
  </si>
  <si>
    <t>{var_30}</t>
  </si>
  <si>
    <t>{var_47}</t>
  </si>
  <si>
    <t>{var_64}</t>
  </si>
  <si>
    <t>{var_11}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</si>
</sst>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00\ _€_-;\-* #,##0.00\ _€_-;_-* &quot;-&quot;??\ _€_-;_-@_-"/>
    <numFmt numFmtId="166" formatCode="_-* #,##0\ _€_-;\-* #,##0\ _€_-;_-* &quot;-&quot;??\ _€_-;_-@_-"/>
    <numFmt numFmtId="167" formatCode="_ * #,##0.00_)\ _$_ ;_ * \(#,##0.00\)\ _$_ ;_ * &quot;-&quot;??_)\ _$_ ;_ @_ "/>
    <numFmt numFmtId="168" formatCode="#,##0.000"/>
  </numFmts>
  <fonts count="56">
    <font>
      <sz val="11"/>
      <color theme="1"/>
      <name val="Calibri"/>
      <family val="2"/>
      <scheme val="minor"/>
    </font>
    <font>
      <sz val="11"/>
      <color theme="1"/>
      <name val="Calibri"/>
      <family val="2"/>
      <scheme val="minor"/>
    </font>
    <font>
      <sz val="10"/>
      <color theme="1"/>
      <name val="Arial"/>
      <family val="2"/>
    </font>
    <font>
      <sz val="11"/>
      <color indexed="8"/>
      <name val="Calibri"/>
      <family val="2"/>
    </font>
    <font>
      <b/>
      <i/>
      <sz val="10"/>
      <color theme="1"/>
      <name val="Arial"/>
      <family val="2"/>
    </font>
    <font>
      <sz val="8"/>
      <color theme="1"/>
      <name val="Arial"/>
      <family val="2"/>
    </font>
    <font>
      <sz val="8"/>
      <color indexed="8"/>
      <name val="Arial"/>
      <family val="2"/>
    </font>
    <font>
      <sz val="8"/>
      <color indexed="8"/>
      <name val="Century Gothic"/>
      <family val="2"/>
    </font>
    <font>
      <b/>
      <i/>
      <sz val="8"/>
      <color theme="1"/>
      <name val="Times New Roman"/>
      <family val="1"/>
    </font>
    <font>
      <b/>
      <sz val="8"/>
      <color theme="1"/>
      <name val="Arial"/>
      <family val="2"/>
    </font>
    <font>
      <b/>
      <sz val="8"/>
      <name val="Arial"/>
      <family val="2"/>
    </font>
    <font>
      <b/>
      <sz val="10"/>
      <color theme="1"/>
      <name val="Arial"/>
      <family val="2"/>
    </font>
    <font>
      <sz val="10"/>
      <name val="Arial"/>
      <family val="2"/>
    </font>
    <font>
      <b/>
      <sz val="10"/>
      <color indexed="8"/>
      <name val="Arial"/>
      <family val="2"/>
    </font>
    <font>
      <b/>
      <sz val="12"/>
      <color theme="1"/>
      <name val="Arial"/>
      <family val="2"/>
    </font>
    <font>
      <b/>
      <sz val="10"/>
      <name val="Arial Narrow"/>
      <family val="2"/>
    </font>
    <font>
      <sz val="10"/>
      <name val="Arial Narrow"/>
      <family val="2"/>
    </font>
    <font>
      <sz val="10"/>
      <color rgb="FF000000"/>
      <name val="Arial"/>
      <family val="2"/>
    </font>
    <font>
      <b/>
      <sz val="10"/>
      <color rgb="FF000000"/>
      <name val="Arial"/>
      <family val="2"/>
    </font>
    <font>
      <b/>
      <i/>
      <sz val="10"/>
      <color rgb="FF000000"/>
      <name val="Times New Roman"/>
      <family val="1"/>
    </font>
    <font>
      <b/>
      <sz val="10"/>
      <color rgb="FFFFFFFF"/>
      <name val="Arial Narrow"/>
      <family val="2"/>
    </font>
    <font>
      <sz val="10"/>
      <color rgb="FF000000"/>
      <name val="Arial Narrow"/>
      <family val="2"/>
    </font>
    <font>
      <b/>
      <sz val="10"/>
      <color rgb="FF000000"/>
      <name val="Arial Narrow"/>
      <family val="2"/>
    </font>
    <font>
      <b/>
      <sz val="10"/>
      <color theme="0"/>
      <name val="Arial"/>
      <family val="2"/>
    </font>
    <font>
      <b/>
      <sz val="10"/>
      <color rgb="FF0070C0"/>
      <name val="Arial"/>
      <family val="2"/>
    </font>
    <font>
      <sz val="10"/>
      <color rgb="FF0070C0"/>
      <name val="Arial"/>
      <family val="2"/>
    </font>
    <font>
      <b/>
      <sz val="11"/>
      <color theme="1"/>
      <name val="Arial"/>
      <family val="2"/>
    </font>
    <font>
      <b/>
      <sz val="11"/>
      <color theme="1"/>
      <name val="Calibri"/>
      <family val="2"/>
      <scheme val="minor"/>
    </font>
    <font>
      <sz val="11"/>
      <color theme="1"/>
      <name val="Arial"/>
      <family val="2"/>
    </font>
    <font>
      <b/>
      <sz val="11"/>
      <color theme="0"/>
      <name val="Arial"/>
      <family val="2"/>
    </font>
    <font>
      <b/>
      <i/>
      <sz val="10"/>
      <color rgb="FFC00000"/>
      <name val="Arial"/>
      <family val="2"/>
    </font>
    <font>
      <b/>
      <sz val="9"/>
      <color theme="1"/>
      <name val="Arial"/>
      <family val="2"/>
    </font>
    <font>
      <sz val="12"/>
      <color theme="1"/>
      <name val="Arial"/>
      <family val="2"/>
    </font>
    <font>
      <sz val="16"/>
      <color rgb="FF365F91"/>
      <name val="Arial"/>
      <family val="2"/>
    </font>
    <font>
      <u/>
      <sz val="10"/>
      <color indexed="12"/>
      <name val="Verdana"/>
      <family val="2"/>
    </font>
    <font>
      <b/>
      <sz val="10"/>
      <color rgb="FFFFC000"/>
      <name val="Arial"/>
      <family val="2"/>
    </font>
    <font>
      <b/>
      <sz val="10"/>
      <color rgb="FF00B050"/>
      <name val="Arial"/>
      <family val="2"/>
    </font>
    <font>
      <b/>
      <sz val="10"/>
      <name val="Arial"/>
      <family val="2"/>
    </font>
    <font>
      <i/>
      <sz val="10"/>
      <color theme="1"/>
      <name val="Arial"/>
      <family val="2"/>
    </font>
    <font>
      <sz val="9"/>
      <color rgb="FF000000"/>
      <name val="Arial"/>
      <family val="2"/>
    </font>
    <font>
      <b/>
      <sz val="9"/>
      <color rgb="FF000000"/>
      <name val="Arial"/>
      <family val="2"/>
    </font>
    <font>
      <sz val="10"/>
      <color rgb="FFFFC000"/>
      <name val="Arial"/>
      <family val="2"/>
    </font>
    <font>
      <sz val="8"/>
      <name val="Calibri"/>
      <family val="2"/>
      <scheme val="minor"/>
    </font>
    <font>
      <b/>
      <sz val="10"/>
      <color theme="4"/>
      <name val="Arial"/>
      <family val="2"/>
    </font>
    <font>
      <sz val="10"/>
      <color theme="4"/>
      <name val="Arial"/>
      <family val="2"/>
    </font>
    <font>
      <b/>
      <sz val="15"/>
      <color rgb="FF00B050"/>
      <name val="Arial"/>
      <family val="2"/>
    </font>
    <font>
      <u/>
      <sz val="10"/>
      <color indexed="12"/>
      <name val="Arial"/>
      <family val="2"/>
    </font>
    <font>
      <sz val="4"/>
      <color theme="1"/>
      <name val="Arial"/>
      <family val="2"/>
    </font>
    <font>
      <sz val="11"/>
      <color rgb="FF000000"/>
      <name val="Arial"/>
      <family val="2"/>
    </font>
    <font>
      <sz val="7"/>
      <color rgb="FF000000"/>
      <name val="Arial"/>
      <family val="2"/>
    </font>
    <font>
      <b/>
      <strike/>
      <sz val="11"/>
      <color rgb="FFFF0000"/>
      <name val="Arial"/>
      <family val="2"/>
    </font>
    <font>
      <b/>
      <sz val="7"/>
      <color theme="1"/>
      <name val="Arial"/>
      <family val="2"/>
    </font>
    <font>
      <b/>
      <sz val="11"/>
      <color rgb="FFFFC000"/>
      <name val="Arial"/>
      <family val="2"/>
    </font>
    <font>
      <sz val="7"/>
      <color theme="1"/>
      <name val="Arial"/>
      <family val="2"/>
    </font>
    <font>
      <b/>
      <i/>
      <sz val="9"/>
      <color rgb="FF000000"/>
      <name val="Arial"/>
      <family val="2"/>
    </font>
    <font>
      <b/>
      <sz val="14"/>
      <color theme="1"/>
      <name val="Arial"/>
      <family val="2"/>
    </font>
  </fonts>
  <fills count="1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4F81BD"/>
        <bgColor rgb="FF000000"/>
      </patternFill>
    </fill>
    <fill>
      <patternFill patternType="solid">
        <fgColor rgb="FF1D70B7"/>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50"/>
        <bgColor indexed="64"/>
      </patternFill>
    </fill>
    <fill>
      <patternFill patternType="solid">
        <fgColor theme="0"/>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ck">
        <color indexed="64"/>
      </left>
      <right style="medium">
        <color indexed="64"/>
      </right>
      <top/>
      <bottom/>
      <diagonal/>
    </border>
    <border>
      <left style="thick">
        <color rgb="FF000000"/>
      </left>
      <right/>
      <top style="medium">
        <color indexed="64"/>
      </top>
      <bottom/>
      <diagonal/>
    </border>
    <border>
      <left style="thick">
        <color rgb="FF000000"/>
      </left>
      <right/>
      <top style="medium">
        <color indexed="64"/>
      </top>
      <bottom style="medium">
        <color rgb="FF000000"/>
      </bottom>
      <diagonal/>
    </border>
    <border>
      <left/>
      <right/>
      <top style="medium">
        <color indexed="64"/>
      </top>
      <bottom style="medium">
        <color rgb="FF000000"/>
      </bottom>
      <diagonal/>
    </border>
    <border>
      <left/>
      <right style="thick">
        <color rgb="FF000000"/>
      </right>
      <top style="medium">
        <color indexed="64"/>
      </top>
      <bottom style="medium">
        <color rgb="FF000000"/>
      </bottom>
      <diagonal/>
    </border>
    <border>
      <left style="thick">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thick">
        <color rgb="FF000000"/>
      </left>
      <right/>
      <top/>
      <bottom style="thin">
        <color rgb="FF000000"/>
      </bottom>
      <diagonal/>
    </border>
    <border>
      <left style="thick">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ck">
        <color rgb="FF000000"/>
      </right>
      <top/>
      <bottom style="thin">
        <color rgb="FF000000"/>
      </bottom>
      <diagonal/>
    </border>
    <border>
      <left style="thick">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style="mediumDashed">
        <color indexed="64"/>
      </top>
      <bottom style="dotted">
        <color indexed="64"/>
      </bottom>
      <diagonal/>
    </border>
    <border>
      <left style="thick">
        <color rgb="FF000000"/>
      </left>
      <right style="medium">
        <color rgb="FF000000"/>
      </right>
      <top style="mediumDashed">
        <color indexed="64"/>
      </top>
      <bottom/>
      <diagonal/>
    </border>
    <border>
      <left style="medium">
        <color rgb="FF000000"/>
      </left>
      <right style="medium">
        <color rgb="FF000000"/>
      </right>
      <top style="mediumDashed">
        <color indexed="64"/>
      </top>
      <bottom/>
      <diagonal/>
    </border>
    <border>
      <left style="medium">
        <color rgb="FF000000"/>
      </left>
      <right style="medium">
        <color rgb="FF000000"/>
      </right>
      <top style="mediumDashed">
        <color indexed="64"/>
      </top>
      <bottom style="dotted">
        <color indexed="64"/>
      </bottom>
      <diagonal/>
    </border>
    <border>
      <left style="medium">
        <color rgb="FF000000"/>
      </left>
      <right style="thick">
        <color rgb="FF000000"/>
      </right>
      <top style="mediumDashed">
        <color indexed="64"/>
      </top>
      <bottom/>
      <diagonal/>
    </border>
    <border>
      <left style="thick">
        <color rgb="FF000000"/>
      </left>
      <right/>
      <top style="dotted">
        <color indexed="64"/>
      </top>
      <bottom style="thick">
        <color rgb="FF000000"/>
      </bottom>
      <diagonal/>
    </border>
    <border>
      <left style="thick">
        <color rgb="FF000000"/>
      </left>
      <right style="medium">
        <color rgb="FF000000"/>
      </right>
      <top style="dotted">
        <color indexed="64"/>
      </top>
      <bottom style="thick">
        <color rgb="FF000000"/>
      </bottom>
      <diagonal/>
    </border>
    <border>
      <left style="medium">
        <color rgb="FF000000"/>
      </left>
      <right style="medium">
        <color rgb="FF000000"/>
      </right>
      <top style="dotted">
        <color indexed="64"/>
      </top>
      <bottom style="thick">
        <color rgb="FF000000"/>
      </bottom>
      <diagonal/>
    </border>
    <border>
      <left style="medium">
        <color rgb="FF000000"/>
      </left>
      <right style="thick">
        <color rgb="FF000000"/>
      </right>
      <top style="dotted">
        <color indexed="64"/>
      </top>
      <bottom style="thick">
        <color rgb="FF000000"/>
      </bottom>
      <diagonal/>
    </border>
    <border>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auto="1"/>
      </left>
      <right/>
      <top style="thin">
        <color auto="1"/>
      </top>
      <bottom style="thin">
        <color auto="1"/>
      </bottom>
      <diagonal/>
    </border>
    <border>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right style="thin">
        <color auto="1"/>
      </right>
      <top style="thin">
        <color auto="1"/>
      </top>
      <bottom style="thin">
        <color auto="1"/>
      </bottom>
      <diagonal/>
    </border>
    <border>
      <left/>
      <right/>
      <top style="thick">
        <color indexed="64"/>
      </top>
      <bottom/>
      <diagonal/>
    </border>
    <border>
      <left style="thick">
        <color indexed="64"/>
      </left>
      <right/>
      <top/>
      <bottom/>
      <diagonal/>
    </border>
    <border>
      <left/>
      <right/>
      <top/>
      <bottom style="thick">
        <color auto="1"/>
      </bottom>
      <diagonal/>
    </border>
    <border>
      <left style="thick">
        <color indexed="64"/>
      </left>
      <right style="thick">
        <color indexed="64"/>
      </right>
      <top/>
      <bottom style="thick">
        <color auto="1"/>
      </bottom>
      <diagonal/>
    </border>
    <border>
      <left/>
      <right style="thick">
        <color indexed="64"/>
      </right>
      <top/>
      <bottom style="thick">
        <color indexed="64"/>
      </bottom>
      <diagonal/>
    </border>
    <border>
      <left style="thick">
        <color rgb="FF000000"/>
      </left>
      <right/>
      <top/>
      <bottom/>
      <diagonal/>
    </border>
    <border>
      <left style="thick">
        <color rgb="FF000000"/>
      </left>
      <right/>
      <top style="mediumDashed">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right style="thick">
        <color indexed="64"/>
      </right>
      <top style="medium">
        <color indexed="64"/>
      </top>
      <bottom style="thick">
        <color indexed="64"/>
      </bottom>
      <diagonal/>
    </border>
    <border>
      <left style="thick">
        <color indexed="64"/>
      </left>
      <right/>
      <top style="thick">
        <color indexed="64"/>
      </top>
      <bottom/>
      <diagonal/>
    </border>
    <border>
      <left/>
      <right style="thick">
        <color auto="1"/>
      </right>
      <top style="thick">
        <color indexed="64"/>
      </top>
      <bottom/>
      <diagonal/>
    </border>
    <border>
      <left style="thick">
        <color indexed="64"/>
      </left>
      <right/>
      <top/>
      <bottom style="thick">
        <color indexed="64"/>
      </bottom>
      <diagonal/>
    </border>
    <border>
      <left/>
      <right/>
      <top style="thick">
        <color indexed="64"/>
      </top>
      <bottom style="dashed">
        <color indexed="64"/>
      </bottom>
      <diagonal/>
    </border>
    <border>
      <left/>
      <right style="thick">
        <color auto="1"/>
      </right>
      <top style="thick">
        <color auto="1"/>
      </top>
      <bottom style="dashed">
        <color auto="1"/>
      </bottom>
      <diagonal/>
    </border>
    <border>
      <left/>
      <right/>
      <top style="dashed">
        <color indexed="64"/>
      </top>
      <bottom style="dashed">
        <color indexed="64"/>
      </bottom>
      <diagonal/>
    </border>
    <border>
      <left/>
      <right style="thick">
        <color auto="1"/>
      </right>
      <top style="dashed">
        <color auto="1"/>
      </top>
      <bottom style="dashed">
        <color auto="1"/>
      </bottom>
      <diagonal/>
    </border>
    <border>
      <left style="thick">
        <color rgb="FF000000"/>
      </left>
      <right/>
      <top/>
      <bottom style="medium">
        <color rgb="FF000000"/>
      </bottom>
      <diagonal/>
    </border>
    <border>
      <left style="thick">
        <color indexed="64"/>
      </left>
      <right style="thick">
        <color rgb="FFFFFFFF"/>
      </right>
      <top/>
      <bottom style="thick">
        <color indexed="64"/>
      </bottom>
      <diagonal/>
    </border>
    <border>
      <left/>
      <right style="thick">
        <color rgb="FFFFFFFF"/>
      </right>
      <top/>
      <bottom style="thick">
        <color indexed="64"/>
      </bottom>
      <diagonal/>
    </border>
    <border>
      <left style="thick">
        <color rgb="FF000000"/>
      </left>
      <right/>
      <top/>
      <bottom style="medium">
        <color indexed="64"/>
      </bottom>
      <diagonal/>
    </border>
    <border>
      <left style="thick">
        <color indexed="64"/>
      </left>
      <right style="thick">
        <color rgb="FF000000"/>
      </right>
      <top/>
      <bottom style="medium">
        <color indexed="64"/>
      </bottom>
      <diagonal/>
    </border>
    <border>
      <left style="thick">
        <color rgb="FF000000"/>
      </left>
      <right style="thick">
        <color indexed="64"/>
      </right>
      <top/>
      <bottom style="medium">
        <color indexed="64"/>
      </bottom>
      <diagonal/>
    </border>
    <border>
      <left/>
      <right style="thick">
        <color rgb="FF000000"/>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thick">
        <color indexed="64"/>
      </bottom>
      <diagonal/>
    </border>
    <border>
      <left style="medium">
        <color auto="1"/>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indexed="64"/>
      </right>
      <top/>
      <bottom style="medium">
        <color auto="1"/>
      </bottom>
      <diagonal/>
    </border>
    <border>
      <left style="medium">
        <color indexed="64"/>
      </left>
      <right style="medium">
        <color indexed="64"/>
      </right>
      <top/>
      <bottom style="medium">
        <color rgb="FF000000"/>
      </bottom>
      <diagonal/>
    </border>
    <border>
      <left/>
      <right style="medium">
        <color indexed="64"/>
      </right>
      <top style="medium">
        <color indexed="64"/>
      </top>
      <bottom style="medium">
        <color rgb="FF000000"/>
      </bottom>
      <diagonal/>
    </border>
    <border>
      <left style="thick">
        <color indexed="64"/>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style="thick">
        <color rgb="FF000000"/>
      </left>
      <right style="thick">
        <color rgb="FF000000"/>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style="medium">
        <color rgb="FF000000"/>
      </right>
      <top/>
      <bottom style="medium">
        <color rgb="FF000000"/>
      </bottom>
      <diagonal/>
    </border>
    <border>
      <left style="thick">
        <color rgb="FF000000"/>
      </left>
      <right style="medium">
        <color rgb="FF000000"/>
      </right>
      <top/>
      <bottom style="medium">
        <color rgb="FF000000"/>
      </bottom>
      <diagonal/>
    </border>
    <border>
      <left style="thick">
        <color rgb="FF000000"/>
      </left>
      <right style="thick">
        <color rgb="FF000000"/>
      </right>
      <top/>
      <bottom style="dotted">
        <color indexed="64"/>
      </bottom>
      <diagonal/>
    </border>
    <border>
      <left style="thick">
        <color rgb="FF000000"/>
      </left>
      <right style="medium">
        <color rgb="FF000000"/>
      </right>
      <top/>
      <bottom/>
      <diagonal/>
    </border>
    <border>
      <left/>
      <right style="medium">
        <color rgb="FF000000"/>
      </right>
      <top/>
      <bottom style="dotted">
        <color indexed="64"/>
      </bottom>
      <diagonal/>
    </border>
    <border>
      <left style="thick">
        <color rgb="FF000000"/>
      </left>
      <right style="thick">
        <color rgb="FF000000"/>
      </right>
      <top/>
      <bottom style="thick">
        <color rgb="FF000000"/>
      </bottom>
      <diagonal/>
    </border>
    <border>
      <left/>
      <right style="medium">
        <color rgb="FF000000"/>
      </right>
      <top style="dotted">
        <color indexed="64"/>
      </top>
      <bottom style="thick">
        <color rgb="FF000000"/>
      </bottom>
      <diagonal/>
    </border>
    <border>
      <left/>
      <right style="medium">
        <color rgb="FF000000"/>
      </right>
      <top/>
      <bottom style="thick">
        <color rgb="FF000000"/>
      </bottom>
      <diagonal/>
    </border>
    <border>
      <left/>
      <right style="medium">
        <color indexed="64"/>
      </right>
      <top style="dotted">
        <color indexed="64"/>
      </top>
      <bottom style="thick">
        <color rgb="FF000000"/>
      </bottom>
      <diagonal/>
    </border>
    <border>
      <left/>
      <right style="thick">
        <color rgb="FF000000"/>
      </right>
      <top/>
      <bottom style="medium">
        <color rgb="FF000000"/>
      </bottom>
      <diagonal/>
    </border>
    <border>
      <left/>
      <right style="thick">
        <color rgb="FF000000"/>
      </right>
      <top/>
      <bottom/>
      <diagonal/>
    </border>
    <border>
      <left/>
      <right style="thick">
        <color rgb="FF000000"/>
      </right>
      <top style="dotted">
        <color indexed="64"/>
      </top>
      <bottom style="thick">
        <color rgb="FF000000"/>
      </bottom>
      <diagonal/>
    </border>
    <border>
      <left style="thick">
        <color rgb="FF000000"/>
      </left>
      <right style="thick">
        <color indexed="64"/>
      </right>
      <top style="medium">
        <color indexed="64"/>
      </top>
      <bottom style="medium">
        <color rgb="FF000000"/>
      </bottom>
      <diagonal/>
    </border>
    <border>
      <left style="thick">
        <color indexed="64"/>
      </left>
      <right style="thick">
        <color indexed="64"/>
      </right>
      <top style="medium">
        <color rgb="FF000000"/>
      </top>
      <bottom style="medium">
        <color rgb="FF000000"/>
      </bottom>
      <diagonal/>
    </border>
    <border>
      <left style="thick">
        <color rgb="FF000000"/>
      </left>
      <right style="thick">
        <color indexed="64"/>
      </right>
      <top style="medium">
        <color rgb="FF000000"/>
      </top>
      <bottom style="medium">
        <color rgb="FF000000"/>
      </bottom>
      <diagonal/>
    </border>
    <border>
      <left style="thick">
        <color rgb="FF000000"/>
      </left>
      <right style="thick">
        <color indexed="64"/>
      </right>
      <top/>
      <bottom style="medium">
        <color rgb="FF000000"/>
      </bottom>
      <diagonal/>
    </border>
    <border>
      <left style="thick">
        <color rgb="FF000000"/>
      </left>
      <right style="thick">
        <color indexed="64"/>
      </right>
      <top/>
      <bottom/>
      <diagonal/>
    </border>
    <border>
      <left style="thick">
        <color rgb="FF000000"/>
      </left>
      <right style="thick">
        <color indexed="64"/>
      </right>
      <top style="dotted">
        <color indexed="64"/>
      </top>
      <bottom style="thick">
        <color rgb="FF000000"/>
      </bottom>
      <diagonal/>
    </border>
  </borders>
  <cellStyleXfs count="9">
    <xf numFmtId="0" fontId="0" fillId="0" borderId="0"/>
    <xf numFmtId="9" fontId="1" fillId="0" borderId="0" applyFont="0" applyFill="0" applyBorder="0" applyAlignment="0" applyProtection="0"/>
    <xf numFmtId="165" fontId="3" fillId="0" borderId="0" applyFont="0" applyFill="0" applyBorder="0" applyAlignment="0" applyProtection="0"/>
    <xf numFmtId="0" fontId="12" fillId="0" borderId="0"/>
    <xf numFmtId="167" fontId="1"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34" fillId="0" borderId="0" applyNumberFormat="0" applyFill="0" applyBorder="0" applyAlignment="0" applyProtection="0">
      <alignment vertical="top"/>
      <protection locked="0"/>
    </xf>
  </cellStyleXfs>
  <cellXfs count="381">
    <xf numFmtId="0" fontId="0" fillId="0" borderId="0" xfId="0"/>
    <xf numFmtId="3" fontId="2" fillId="0" borderId="0" xfId="0" applyNumberFormat="1" applyFont="1"/>
    <xf numFmtId="3" fontId="0" fillId="0" borderId="0" xfId="0" applyNumberFormat="1"/>
    <xf numFmtId="0" fontId="5" fillId="0" borderId="1" xfId="0" applyFont="1" applyBorder="1"/>
    <xf numFmtId="166" fontId="6" fillId="0" borderId="1" xfId="2" applyNumberFormat="1" applyFont="1" applyBorder="1" applyAlignment="1">
      <alignment horizontal="left"/>
    </xf>
    <xf numFmtId="166" fontId="7" fillId="0" borderId="1" xfId="2" applyNumberFormat="1" applyFont="1" applyBorder="1"/>
    <xf numFmtId="0" fontId="8" fillId="0" borderId="1" xfId="0" applyFont="1" applyBorder="1" applyAlignment="1">
      <alignment horizontal="right"/>
    </xf>
    <xf numFmtId="9" fontId="6" fillId="0" borderId="1" xfId="1" applyFont="1" applyBorder="1" applyAlignment="1">
      <alignment horizontal="center"/>
    </xf>
    <xf numFmtId="9" fontId="5" fillId="0" borderId="1" xfId="0" applyNumberFormat="1" applyFont="1" applyBorder="1" applyAlignment="1">
      <alignment horizontal="center"/>
    </xf>
    <xf numFmtId="3" fontId="5" fillId="0" borderId="1" xfId="0" applyNumberFormat="1" applyFont="1" applyBorder="1" applyAlignment="1">
      <alignment horizontal="center"/>
    </xf>
    <xf numFmtId="0" fontId="9" fillId="0" borderId="1" xfId="0" applyFont="1" applyBorder="1" applyAlignment="1">
      <alignment horizontal="center" vertical="top" wrapText="1"/>
    </xf>
    <xf numFmtId="0" fontId="10" fillId="0" borderId="1" xfId="0" applyFont="1" applyBorder="1" applyAlignment="1">
      <alignment horizontal="center" vertical="top" wrapText="1"/>
    </xf>
    <xf numFmtId="0" fontId="6" fillId="0" borderId="1" xfId="2" applyNumberFormat="1" applyFont="1" applyBorder="1" applyAlignment="1">
      <alignment horizontal="center"/>
    </xf>
    <xf numFmtId="166" fontId="6" fillId="0" borderId="1" xfId="2" applyNumberFormat="1" applyFont="1" applyBorder="1"/>
    <xf numFmtId="0" fontId="2" fillId="0" borderId="1" xfId="0" applyFont="1" applyFill="1" applyBorder="1"/>
    <xf numFmtId="0" fontId="4" fillId="0" borderId="1" xfId="0" applyFont="1" applyFill="1" applyBorder="1" applyAlignment="1">
      <alignment horizontal="right"/>
    </xf>
    <xf numFmtId="10" fontId="2" fillId="0" borderId="1" xfId="0" applyNumberFormat="1" applyFont="1" applyFill="1" applyBorder="1" applyAlignment="1">
      <alignment horizontal="center"/>
    </xf>
    <xf numFmtId="9" fontId="2"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66" fontId="2" fillId="0" borderId="1" xfId="2" applyNumberFormat="1" applyFont="1" applyFill="1" applyBorder="1" applyAlignment="1">
      <alignment horizontal="left"/>
    </xf>
    <xf numFmtId="9" fontId="2" fillId="0" borderId="1" xfId="1" applyFont="1" applyFill="1" applyBorder="1" applyAlignment="1">
      <alignment horizontal="center"/>
    </xf>
    <xf numFmtId="0" fontId="11" fillId="0" borderId="1" xfId="0" applyFont="1" applyFill="1" applyBorder="1" applyAlignment="1">
      <alignment horizontal="center" vertical="center" wrapText="1"/>
    </xf>
    <xf numFmtId="3" fontId="2" fillId="0" borderId="1" xfId="2" applyNumberFormat="1" applyFont="1" applyFill="1" applyBorder="1" applyAlignment="1"/>
    <xf numFmtId="0" fontId="5" fillId="0" borderId="1" xfId="0" applyFont="1" applyBorder="1" applyAlignment="1">
      <alignment horizontal="center" vertical="center"/>
    </xf>
    <xf numFmtId="0" fontId="2" fillId="0" borderId="0" xfId="0" applyFont="1"/>
    <xf numFmtId="0" fontId="11" fillId="0" borderId="0" xfId="0" applyFont="1"/>
    <xf numFmtId="0" fontId="2" fillId="0" borderId="1" xfId="0" applyFont="1" applyBorder="1"/>
    <xf numFmtId="0" fontId="11" fillId="0" borderId="1" xfId="0" applyFont="1" applyBorder="1"/>
    <xf numFmtId="0" fontId="2" fillId="0" borderId="1" xfId="0" applyFont="1" applyBorder="1" applyAlignment="1">
      <alignment horizontal="left" indent="2"/>
    </xf>
    <xf numFmtId="0" fontId="11" fillId="0" borderId="1" xfId="0" applyFont="1" applyBorder="1" applyAlignment="1">
      <alignment horizontal="left" indent="1"/>
    </xf>
    <xf numFmtId="0" fontId="2" fillId="0" borderId="0" xfId="0" applyFont="1" applyAlignment="1">
      <alignment horizontal="centerContinuous"/>
    </xf>
    <xf numFmtId="3" fontId="2" fillId="0" borderId="1" xfId="0" applyNumberFormat="1" applyFont="1" applyBorder="1"/>
    <xf numFmtId="2" fontId="2" fillId="0" borderId="0" xfId="0" applyNumberFormat="1" applyFont="1" applyAlignment="1">
      <alignment horizontal="centerContinuous"/>
    </xf>
    <xf numFmtId="3" fontId="11" fillId="0" borderId="1" xfId="0" applyNumberFormat="1" applyFont="1" applyBorder="1"/>
    <xf numFmtId="3" fontId="13" fillId="0" borderId="1" xfId="0" applyNumberFormat="1" applyFont="1" applyBorder="1"/>
    <xf numFmtId="0" fontId="2" fillId="2" borderId="1" xfId="0" applyFont="1" applyFill="1" applyBorder="1"/>
    <xf numFmtId="0" fontId="2" fillId="2" borderId="1" xfId="0" applyFont="1" applyFill="1" applyBorder="1" applyAlignment="1">
      <alignment horizontal="left" indent="2"/>
    </xf>
    <xf numFmtId="0" fontId="2" fillId="3" borderId="1" xfId="0" applyFont="1" applyFill="1" applyBorder="1"/>
    <xf numFmtId="0" fontId="14" fillId="0" borderId="0" xfId="0" applyFont="1" applyAlignment="1">
      <alignment horizontal="centerContinuous"/>
    </xf>
    <xf numFmtId="3" fontId="14" fillId="0" borderId="0" xfId="0" applyNumberFormat="1" applyFont="1" applyAlignment="1">
      <alignment horizontal="centerContinuous"/>
    </xf>
    <xf numFmtId="3" fontId="11" fillId="0" borderId="1" xfId="0" applyNumberFormat="1" applyFont="1" applyBorder="1" applyAlignment="1">
      <alignment horizontal="right"/>
    </xf>
    <xf numFmtId="3" fontId="17" fillId="0" borderId="3" xfId="0" applyNumberFormat="1" applyFont="1" applyBorder="1" applyAlignment="1">
      <alignment vertical="top" wrapText="1"/>
    </xf>
    <xf numFmtId="3" fontId="18" fillId="0" borderId="4" xfId="0" applyNumberFormat="1" applyFont="1" applyBorder="1" applyAlignment="1">
      <alignment horizontal="centerContinuous" vertical="top" wrapText="1"/>
    </xf>
    <xf numFmtId="3" fontId="18" fillId="0" borderId="5" xfId="0" applyNumberFormat="1" applyFont="1" applyBorder="1" applyAlignment="1">
      <alignment horizontal="centerContinuous" vertical="top" wrapText="1"/>
    </xf>
    <xf numFmtId="3" fontId="18" fillId="0" borderId="6" xfId="0" applyNumberFormat="1" applyFont="1" applyBorder="1" applyAlignment="1">
      <alignment horizontal="centerContinuous" vertical="top" wrapText="1"/>
    </xf>
    <xf numFmtId="0" fontId="19" fillId="0" borderId="2" xfId="0" applyFont="1" applyBorder="1" applyAlignment="1">
      <alignment horizontal="right"/>
    </xf>
    <xf numFmtId="3" fontId="18" fillId="0" borderId="7" xfId="0" quotePrefix="1" applyNumberFormat="1" applyFont="1" applyBorder="1" applyAlignment="1">
      <alignment horizontal="center" vertical="center" wrapText="1"/>
    </xf>
    <xf numFmtId="3" fontId="18" fillId="0" borderId="8" xfId="0" quotePrefix="1" applyNumberFormat="1" applyFont="1" applyBorder="1" applyAlignment="1">
      <alignment horizontal="center" vertical="center" wrapText="1"/>
    </xf>
    <xf numFmtId="3" fontId="18" fillId="0" borderId="9" xfId="0" quotePrefix="1" applyNumberFormat="1" applyFont="1" applyBorder="1" applyAlignment="1">
      <alignment horizontal="center" vertical="center" wrapText="1"/>
    </xf>
    <xf numFmtId="3" fontId="20" fillId="4" borderId="10" xfId="0" applyNumberFormat="1" applyFont="1" applyFill="1" applyBorder="1" applyAlignment="1">
      <alignment vertical="center" wrapText="1"/>
    </xf>
    <xf numFmtId="3" fontId="15" fillId="0" borderId="11" xfId="6" applyNumberFormat="1" applyFont="1" applyFill="1" applyBorder="1" applyAlignment="1">
      <alignment vertical="center" wrapText="1"/>
    </xf>
    <xf numFmtId="3" fontId="15" fillId="0" borderId="12" xfId="6" applyNumberFormat="1" applyFont="1" applyFill="1" applyBorder="1" applyAlignment="1">
      <alignment vertical="center" wrapText="1"/>
    </xf>
    <xf numFmtId="3" fontId="15" fillId="0" borderId="13" xfId="6" applyNumberFormat="1" applyFont="1" applyFill="1" applyBorder="1" applyAlignment="1">
      <alignment vertical="center" wrapText="1"/>
    </xf>
    <xf numFmtId="3" fontId="20" fillId="4" borderId="10" xfId="0" applyNumberFormat="1" applyFont="1" applyFill="1" applyBorder="1" applyAlignment="1">
      <alignment vertical="top" wrapText="1"/>
    </xf>
    <xf numFmtId="3" fontId="21" fillId="4" borderId="10" xfId="0" applyNumberFormat="1" applyFont="1" applyFill="1" applyBorder="1" applyAlignment="1">
      <alignment vertical="top" wrapText="1"/>
    </xf>
    <xf numFmtId="3" fontId="21" fillId="4" borderId="14" xfId="0" applyNumberFormat="1" applyFont="1" applyFill="1" applyBorder="1" applyAlignment="1">
      <alignment vertical="top" wrapText="1"/>
    </xf>
    <xf numFmtId="3" fontId="21" fillId="4" borderId="15" xfId="0" applyNumberFormat="1" applyFont="1" applyFill="1" applyBorder="1" applyAlignment="1">
      <alignment vertical="top" wrapText="1"/>
    </xf>
    <xf numFmtId="3" fontId="22" fillId="0" borderId="16" xfId="0" applyNumberFormat="1" applyFont="1" applyBorder="1" applyAlignment="1">
      <alignment vertical="top" wrapText="1"/>
    </xf>
    <xf numFmtId="3" fontId="22" fillId="0" borderId="11" xfId="6" applyNumberFormat="1" applyFont="1" applyFill="1" applyBorder="1" applyAlignment="1">
      <alignment vertical="top" wrapText="1"/>
    </xf>
    <xf numFmtId="3" fontId="22" fillId="0" borderId="12" xfId="6" applyNumberFormat="1" applyFont="1" applyFill="1" applyBorder="1" applyAlignment="1">
      <alignment vertical="top" wrapText="1"/>
    </xf>
    <xf numFmtId="3" fontId="22" fillId="0" borderId="13" xfId="6" applyNumberFormat="1" applyFont="1" applyFill="1" applyBorder="1" applyAlignment="1">
      <alignment vertical="top" wrapText="1"/>
    </xf>
    <xf numFmtId="0" fontId="22" fillId="0" borderId="11" xfId="0" applyFont="1" applyBorder="1" applyAlignment="1">
      <alignment horizontal="left" vertical="top" wrapText="1"/>
    </xf>
    <xf numFmtId="3" fontId="22" fillId="0" borderId="10" xfId="0" applyNumberFormat="1" applyFont="1" applyBorder="1" applyAlignment="1">
      <alignment vertical="top" wrapText="1"/>
    </xf>
    <xf numFmtId="0" fontId="20" fillId="4" borderId="10" xfId="0" applyFont="1" applyFill="1" applyBorder="1" applyAlignment="1">
      <alignment horizontal="left" vertical="top" wrapText="1"/>
    </xf>
    <xf numFmtId="3" fontId="21" fillId="4" borderId="10" xfId="0" applyNumberFormat="1" applyFont="1" applyFill="1" applyBorder="1" applyAlignment="1">
      <alignment horizontal="right" vertical="top" wrapText="1"/>
    </xf>
    <xf numFmtId="3" fontId="21" fillId="4" borderId="14" xfId="0" applyNumberFormat="1" applyFont="1" applyFill="1" applyBorder="1" applyAlignment="1">
      <alignment horizontal="right" vertical="top" wrapText="1"/>
    </xf>
    <xf numFmtId="3" fontId="21" fillId="4" borderId="15" xfId="0" applyNumberFormat="1" applyFont="1" applyFill="1" applyBorder="1" applyAlignment="1">
      <alignment horizontal="right" vertical="top" wrapText="1"/>
    </xf>
    <xf numFmtId="3" fontId="21" fillId="0" borderId="17" xfId="0" applyNumberFormat="1" applyFont="1" applyBorder="1" applyAlignment="1">
      <alignment vertical="top" wrapText="1"/>
    </xf>
    <xf numFmtId="3" fontId="16" fillId="0" borderId="18" xfId="6" applyNumberFormat="1" applyFont="1" applyFill="1" applyBorder="1" applyAlignment="1">
      <alignment vertical="top" wrapText="1"/>
    </xf>
    <xf numFmtId="3" fontId="21" fillId="0" borderId="19" xfId="6" applyNumberFormat="1" applyFont="1" applyFill="1" applyBorder="1" applyAlignment="1">
      <alignment vertical="top" wrapText="1"/>
    </xf>
    <xf numFmtId="3" fontId="21" fillId="0" borderId="20" xfId="6" applyNumberFormat="1" applyFont="1" applyFill="1" applyBorder="1" applyAlignment="1">
      <alignment vertical="top" wrapText="1"/>
    </xf>
    <xf numFmtId="3" fontId="16" fillId="0" borderId="21" xfId="6" applyNumberFormat="1" applyFont="1" applyFill="1" applyBorder="1" applyAlignment="1">
      <alignment vertical="top" wrapText="1"/>
    </xf>
    <xf numFmtId="3" fontId="16" fillId="0" borderId="22" xfId="6" applyNumberFormat="1" applyFont="1" applyFill="1" applyBorder="1" applyAlignment="1">
      <alignment vertical="top" wrapText="1"/>
    </xf>
    <xf numFmtId="3" fontId="16" fillId="0" borderId="23" xfId="6" applyNumberFormat="1" applyFont="1" applyFill="1" applyBorder="1" applyAlignment="1">
      <alignment vertical="top" wrapText="1"/>
    </xf>
    <xf numFmtId="3" fontId="21" fillId="0" borderId="24" xfId="0" applyNumberFormat="1" applyFont="1" applyBorder="1" applyAlignment="1">
      <alignment vertical="top" wrapText="1"/>
    </xf>
    <xf numFmtId="0" fontId="22" fillId="0" borderId="25" xfId="0" applyFont="1" applyBorder="1" applyAlignment="1">
      <alignment horizontal="left" vertical="top"/>
    </xf>
    <xf numFmtId="3" fontId="22" fillId="0" borderId="26" xfId="6" applyNumberFormat="1" applyFont="1" applyFill="1" applyBorder="1" applyAlignment="1">
      <alignment horizontal="right" vertical="top"/>
    </xf>
    <xf numFmtId="3" fontId="22" fillId="0" borderId="27" xfId="6" applyNumberFormat="1" applyFont="1" applyFill="1" applyBorder="1" applyAlignment="1">
      <alignment horizontal="right" vertical="top"/>
    </xf>
    <xf numFmtId="3" fontId="22" fillId="0" borderId="28" xfId="6" applyNumberFormat="1" applyFont="1" applyFill="1" applyBorder="1" applyAlignment="1">
      <alignment horizontal="right" vertical="top"/>
    </xf>
    <xf numFmtId="3" fontId="22" fillId="0" borderId="29" xfId="6" applyNumberFormat="1" applyFont="1" applyFill="1" applyBorder="1" applyAlignment="1">
      <alignment horizontal="right" vertical="top"/>
    </xf>
    <xf numFmtId="3" fontId="20" fillId="4" borderId="30" xfId="0" applyNumberFormat="1" applyFont="1" applyFill="1" applyBorder="1" applyAlignment="1">
      <alignment vertical="top" wrapText="1"/>
    </xf>
    <xf numFmtId="3" fontId="20" fillId="4" borderId="31" xfId="6" applyNumberFormat="1" applyFont="1" applyFill="1" applyBorder="1" applyAlignment="1">
      <alignment vertical="center" wrapText="1"/>
    </xf>
    <xf numFmtId="3" fontId="20" fillId="4" borderId="32" xfId="6" applyNumberFormat="1" applyFont="1" applyFill="1" applyBorder="1" applyAlignment="1">
      <alignment vertical="center" wrapText="1"/>
    </xf>
    <xf numFmtId="3" fontId="20" fillId="4" borderId="33" xfId="6" applyNumberFormat="1" applyFont="1" applyFill="1" applyBorder="1" applyAlignment="1">
      <alignment vertical="center" wrapText="1"/>
    </xf>
    <xf numFmtId="3" fontId="21" fillId="0" borderId="10" xfId="0" applyNumberFormat="1" applyFont="1" applyBorder="1" applyAlignment="1">
      <alignment vertical="top" wrapText="1"/>
    </xf>
    <xf numFmtId="0" fontId="0" fillId="0" borderId="0" xfId="0" applyFont="1"/>
    <xf numFmtId="0" fontId="11" fillId="0" borderId="1" xfId="0" applyFont="1" applyBorder="1" applyAlignment="1">
      <alignment horizontal="right"/>
    </xf>
    <xf numFmtId="0" fontId="23" fillId="5" borderId="1" xfId="0" applyFont="1" applyFill="1" applyBorder="1" applyAlignment="1">
      <alignment horizontal="center"/>
    </xf>
    <xf numFmtId="3" fontId="2" fillId="0" borderId="1" xfId="5" applyNumberFormat="1" applyFont="1" applyBorder="1"/>
    <xf numFmtId="3" fontId="11" fillId="7" borderId="1" xfId="5" applyNumberFormat="1" applyFont="1" applyFill="1" applyBorder="1"/>
    <xf numFmtId="3" fontId="11" fillId="6" borderId="1" xfId="5" applyNumberFormat="1" applyFont="1" applyFill="1" applyBorder="1" applyAlignment="1"/>
    <xf numFmtId="9" fontId="11" fillId="0" borderId="1" xfId="1" applyFont="1" applyBorder="1"/>
    <xf numFmtId="3" fontId="11" fillId="6" borderId="1" xfId="5" applyNumberFormat="1" applyFont="1" applyFill="1" applyBorder="1" applyAlignment="1">
      <alignment horizontal="right"/>
    </xf>
    <xf numFmtId="10" fontId="2" fillId="0" borderId="1" xfId="1" applyNumberFormat="1" applyFont="1" applyBorder="1"/>
    <xf numFmtId="9" fontId="11" fillId="7" borderId="1" xfId="1" applyFont="1" applyFill="1" applyBorder="1"/>
    <xf numFmtId="0" fontId="23" fillId="5" borderId="34" xfId="0" applyFont="1" applyFill="1" applyBorder="1" applyAlignment="1">
      <alignment horizontal="center"/>
    </xf>
    <xf numFmtId="0" fontId="23" fillId="5" borderId="35" xfId="0" applyFont="1" applyFill="1" applyBorder="1" applyAlignment="1">
      <alignment horizontal="center"/>
    </xf>
    <xf numFmtId="0" fontId="23" fillId="5" borderId="36" xfId="0" applyFont="1" applyFill="1" applyBorder="1" applyAlignment="1">
      <alignment horizontal="center"/>
    </xf>
    <xf numFmtId="0" fontId="23" fillId="5" borderId="37" xfId="0" applyFont="1" applyFill="1" applyBorder="1" applyAlignment="1">
      <alignment horizontal="center"/>
    </xf>
    <xf numFmtId="0" fontId="23" fillId="5" borderId="38" xfId="0" applyFont="1" applyFill="1" applyBorder="1" applyAlignment="1">
      <alignment horizontal="center"/>
    </xf>
    <xf numFmtId="0" fontId="11" fillId="0" borderId="1" xfId="0" applyFont="1" applyBorder="1" applyAlignment="1">
      <alignment horizontal="center" vertical="center"/>
    </xf>
    <xf numFmtId="0" fontId="11" fillId="0" borderId="1" xfId="0" applyFont="1" applyBorder="1" applyAlignment="1">
      <alignment vertical="center"/>
    </xf>
    <xf numFmtId="3" fontId="11" fillId="0" borderId="1" xfId="0" applyNumberFormat="1" applyFont="1" applyBorder="1" applyAlignment="1">
      <alignment vertical="center"/>
    </xf>
    <xf numFmtId="3" fontId="2" fillId="0" borderId="1" xfId="0" applyNumberFormat="1" applyFont="1" applyBorder="1" applyAlignment="1">
      <alignment vertical="center"/>
    </xf>
    <xf numFmtId="0" fontId="23" fillId="5" borderId="39" xfId="0" applyFont="1" applyFill="1" applyBorder="1" applyAlignment="1">
      <alignment horizontal="center"/>
    </xf>
    <xf numFmtId="0" fontId="11" fillId="0" borderId="1" xfId="0" applyFont="1" applyBorder="1" applyAlignment="1">
      <alignment vertical="center" wrapText="1"/>
    </xf>
    <xf numFmtId="0" fontId="2" fillId="0" borderId="1" xfId="0" applyFont="1" applyBorder="1" applyAlignment="1">
      <alignment vertical="center" wrapText="1"/>
    </xf>
    <xf numFmtId="3" fontId="2" fillId="0" borderId="1" xfId="0" applyNumberFormat="1" applyFont="1" applyBorder="1" applyAlignment="1">
      <alignment horizontal="right"/>
    </xf>
    <xf numFmtId="3" fontId="2" fillId="2" borderId="1" xfId="0" applyNumberFormat="1" applyFont="1" applyFill="1" applyBorder="1"/>
    <xf numFmtId="3" fontId="2" fillId="8" borderId="1" xfId="0" applyNumberFormat="1" applyFont="1" applyFill="1" applyBorder="1"/>
    <xf numFmtId="3" fontId="2" fillId="9" borderId="1" xfId="0" applyNumberFormat="1" applyFont="1" applyFill="1" applyBorder="1"/>
    <xf numFmtId="0" fontId="2" fillId="8" borderId="1" xfId="0" applyFont="1" applyFill="1" applyBorder="1" applyAlignment="1">
      <alignment horizontal="left" indent="2"/>
    </xf>
    <xf numFmtId="0" fontId="2" fillId="9" borderId="1" xfId="0" applyFont="1" applyFill="1" applyBorder="1" applyAlignment="1">
      <alignment horizontal="left" indent="2"/>
    </xf>
    <xf numFmtId="0" fontId="2" fillId="9" borderId="1" xfId="0" applyFont="1" applyFill="1" applyBorder="1"/>
    <xf numFmtId="0" fontId="2" fillId="3" borderId="1" xfId="0" applyFont="1" applyFill="1" applyBorder="1" applyAlignment="1">
      <alignment horizontal="left" indent="2"/>
    </xf>
    <xf numFmtId="0" fontId="12" fillId="3" borderId="1" xfId="0" applyFont="1" applyFill="1" applyBorder="1"/>
    <xf numFmtId="0" fontId="24" fillId="0" borderId="1" xfId="0" applyFont="1" applyBorder="1"/>
    <xf numFmtId="0" fontId="25" fillId="0" borderId="1" xfId="0" applyFont="1" applyBorder="1"/>
    <xf numFmtId="3" fontId="25" fillId="0" borderId="1" xfId="0" applyNumberFormat="1" applyFont="1" applyBorder="1"/>
    <xf numFmtId="3" fontId="25" fillId="0" borderId="0" xfId="0" applyNumberFormat="1" applyFont="1"/>
    <xf numFmtId="0" fontId="25" fillId="0" borderId="1" xfId="0" applyFont="1" applyBorder="1" applyAlignment="1">
      <alignment horizontal="left" indent="2"/>
    </xf>
    <xf numFmtId="168" fontId="25" fillId="0" borderId="1" xfId="0" applyNumberFormat="1" applyFont="1" applyBorder="1"/>
    <xf numFmtId="4" fontId="25" fillId="0" borderId="1" xfId="0" applyNumberFormat="1" applyFont="1" applyBorder="1"/>
    <xf numFmtId="3" fontId="24" fillId="0" borderId="1" xfId="0" applyNumberFormat="1" applyFont="1" applyBorder="1"/>
    <xf numFmtId="0" fontId="26" fillId="0" borderId="0" xfId="0" applyFont="1"/>
    <xf numFmtId="3" fontId="26" fillId="0" borderId="0" xfId="0" applyNumberFormat="1" applyFont="1"/>
    <xf numFmtId="0" fontId="28" fillId="0" borderId="1" xfId="0" applyFont="1" applyBorder="1"/>
    <xf numFmtId="0" fontId="19" fillId="0" borderId="0" xfId="0" applyFont="1" applyBorder="1" applyAlignment="1">
      <alignment horizontal="right"/>
    </xf>
    <xf numFmtId="3" fontId="21" fillId="0" borderId="45" xfId="0" applyNumberFormat="1" applyFont="1" applyBorder="1" applyAlignment="1">
      <alignment vertical="top" wrapText="1"/>
    </xf>
    <xf numFmtId="0" fontId="22" fillId="0" borderId="46" xfId="0" applyFont="1" applyBorder="1" applyAlignment="1">
      <alignment horizontal="left" vertical="top"/>
    </xf>
    <xf numFmtId="0" fontId="30" fillId="0" borderId="1" xfId="0" applyFont="1" applyBorder="1" applyAlignment="1">
      <alignment horizontal="left" indent="2"/>
    </xf>
    <xf numFmtId="9" fontId="30" fillId="0" borderId="1" xfId="1" applyFont="1" applyBorder="1"/>
    <xf numFmtId="0" fontId="29" fillId="10" borderId="47" xfId="0" applyFont="1" applyFill="1" applyBorder="1" applyAlignment="1">
      <alignment horizontal="centerContinuous"/>
    </xf>
    <xf numFmtId="0" fontId="29" fillId="10" borderId="48" xfId="0" applyFont="1" applyFill="1" applyBorder="1" applyAlignment="1">
      <alignment horizontal="centerContinuous"/>
    </xf>
    <xf numFmtId="0" fontId="29" fillId="10" borderId="49" xfId="0" applyFont="1" applyFill="1" applyBorder="1" applyAlignment="1">
      <alignment horizontal="centerContinuous"/>
    </xf>
    <xf numFmtId="0" fontId="11" fillId="0" borderId="50" xfId="0" applyFont="1" applyBorder="1" applyAlignment="1" applyProtection="1">
      <alignment vertical="center"/>
      <protection locked="0"/>
    </xf>
    <xf numFmtId="0" fontId="31" fillId="0" borderId="39" xfId="0" applyFont="1" applyBorder="1" applyAlignment="1" applyProtection="1">
      <alignment wrapText="1"/>
      <protection locked="0"/>
    </xf>
    <xf numFmtId="3" fontId="31" fillId="0" borderId="51" xfId="0" applyNumberFormat="1" applyFont="1" applyBorder="1" applyAlignment="1" applyProtection="1">
      <alignment wrapText="1"/>
      <protection locked="0"/>
    </xf>
    <xf numFmtId="0" fontId="28" fillId="0" borderId="50" xfId="0" applyFont="1" applyBorder="1" applyProtection="1">
      <protection locked="0"/>
    </xf>
    <xf numFmtId="0" fontId="28" fillId="0" borderId="1" xfId="0" applyFont="1" applyBorder="1" applyAlignment="1" applyProtection="1">
      <alignment vertical="center"/>
      <protection locked="0"/>
    </xf>
    <xf numFmtId="0" fontId="14" fillId="0" borderId="0" xfId="0" applyFont="1" applyAlignment="1">
      <alignment horizontal="center" vertical="center"/>
    </xf>
    <xf numFmtId="0" fontId="14" fillId="0" borderId="0" xfId="0" applyFont="1" applyAlignment="1">
      <alignment vertical="center"/>
    </xf>
    <xf numFmtId="0" fontId="35" fillId="14" borderId="63" xfId="0" applyFont="1" applyFill="1" applyBorder="1" applyAlignment="1" applyProtection="1">
      <alignment vertical="center"/>
      <protection hidden="1"/>
    </xf>
    <xf numFmtId="0" fontId="35" fillId="14" borderId="64" xfId="0" applyFont="1" applyFill="1" applyBorder="1" applyAlignment="1" applyProtection="1">
      <alignment horizontal="center" vertical="center"/>
      <protection hidden="1"/>
    </xf>
    <xf numFmtId="0" fontId="35" fillId="14" borderId="65" xfId="0" applyFont="1" applyFill="1" applyBorder="1" applyAlignment="1" applyProtection="1">
      <alignment horizontal="center" vertical="center"/>
      <protection hidden="1"/>
    </xf>
    <xf numFmtId="0" fontId="35" fillId="14" borderId="44" xfId="0" applyFont="1" applyFill="1" applyBorder="1" applyAlignment="1" applyProtection="1">
      <alignment horizontal="center" vertical="center"/>
      <protection hidden="1"/>
    </xf>
    <xf numFmtId="3" fontId="18" fillId="0" borderId="66" xfId="0" applyNumberFormat="1" applyFont="1" applyBorder="1" applyAlignment="1" applyProtection="1">
      <alignment vertical="center"/>
      <protection hidden="1"/>
    </xf>
    <xf numFmtId="3" fontId="18" fillId="0" borderId="67" xfId="0" applyNumberFormat="1" applyFont="1" applyBorder="1" applyAlignment="1" applyProtection="1">
      <alignment horizontal="right" vertical="center" wrapText="1"/>
      <protection hidden="1"/>
    </xf>
    <xf numFmtId="0" fontId="18" fillId="0" borderId="68" xfId="0" applyFont="1" applyBorder="1" applyAlignment="1" applyProtection="1">
      <alignment vertical="center" wrapText="1"/>
      <protection hidden="1"/>
    </xf>
    <xf numFmtId="3" fontId="17" fillId="0" borderId="69" xfId="0" applyNumberFormat="1" applyFont="1" applyBorder="1" applyAlignment="1" applyProtection="1">
      <alignment horizontal="right" vertical="center" wrapText="1"/>
      <protection hidden="1"/>
    </xf>
    <xf numFmtId="3" fontId="18" fillId="0" borderId="69" xfId="0" applyNumberFormat="1" applyFont="1" applyBorder="1" applyAlignment="1" applyProtection="1">
      <alignment horizontal="right" vertical="center"/>
      <protection hidden="1"/>
    </xf>
    <xf numFmtId="0" fontId="18" fillId="0" borderId="69" xfId="0" applyFont="1" applyBorder="1" applyAlignment="1" applyProtection="1">
      <alignment horizontal="right" vertical="center"/>
      <protection hidden="1"/>
    </xf>
    <xf numFmtId="9" fontId="18" fillId="0" borderId="69" xfId="0" applyNumberFormat="1" applyFont="1" applyBorder="1" applyAlignment="1" applyProtection="1">
      <alignment horizontal="right" vertical="center"/>
      <protection hidden="1"/>
    </xf>
    <xf numFmtId="1" fontId="18" fillId="0" borderId="69" xfId="0" applyNumberFormat="1" applyFont="1" applyBorder="1" applyAlignment="1" applyProtection="1">
      <alignment horizontal="right" vertical="center"/>
      <protection hidden="1"/>
    </xf>
    <xf numFmtId="3" fontId="17" fillId="0" borderId="70" xfId="0" applyNumberFormat="1" applyFont="1" applyBorder="1" applyAlignment="1" applyProtection="1">
      <alignment horizontal="right" vertical="center"/>
      <protection hidden="1"/>
    </xf>
    <xf numFmtId="3" fontId="18" fillId="0" borderId="70" xfId="0" applyNumberFormat="1" applyFont="1" applyBorder="1" applyAlignment="1" applyProtection="1">
      <alignment horizontal="right" vertical="center"/>
      <protection hidden="1"/>
    </xf>
    <xf numFmtId="0" fontId="18" fillId="0" borderId="43" xfId="0" applyFont="1" applyBorder="1" applyAlignment="1" applyProtection="1">
      <alignment vertical="center" wrapText="1"/>
      <protection hidden="1"/>
    </xf>
    <xf numFmtId="10" fontId="36" fillId="0" borderId="71" xfId="1" applyNumberFormat="1" applyFont="1" applyBorder="1" applyAlignment="1" applyProtection="1">
      <alignment horizontal="right" vertical="center" wrapText="1"/>
      <protection hidden="1"/>
    </xf>
    <xf numFmtId="0" fontId="17" fillId="0" borderId="77" xfId="0" applyFont="1" applyBorder="1" applyAlignment="1" applyProtection="1">
      <alignment vertical="center"/>
      <protection hidden="1"/>
    </xf>
    <xf numFmtId="9" fontId="18" fillId="0" borderId="77" xfId="0" applyNumberFormat="1" applyFont="1" applyBorder="1" applyAlignment="1" applyProtection="1">
      <alignment horizontal="right" vertical="center"/>
      <protection hidden="1"/>
    </xf>
    <xf numFmtId="0" fontId="17" fillId="0" borderId="77" xfId="0" applyFont="1" applyBorder="1" applyAlignment="1" applyProtection="1">
      <alignment horizontal="right" vertical="center"/>
      <protection hidden="1"/>
    </xf>
    <xf numFmtId="0" fontId="18" fillId="0" borderId="77" xfId="0" applyFont="1" applyBorder="1" applyAlignment="1" applyProtection="1">
      <alignment horizontal="right" vertical="center"/>
      <protection hidden="1"/>
    </xf>
    <xf numFmtId="3" fontId="37" fillId="0" borderId="77" xfId="0" applyNumberFormat="1" applyFont="1" applyBorder="1" applyAlignment="1" applyProtection="1">
      <alignment vertical="center"/>
      <protection hidden="1"/>
    </xf>
    <xf numFmtId="3" fontId="18" fillId="0" borderId="77" xfId="0" applyNumberFormat="1" applyFont="1" applyBorder="1" applyAlignment="1" applyProtection="1">
      <alignment vertical="center"/>
      <protection hidden="1"/>
    </xf>
    <xf numFmtId="3" fontId="17" fillId="0" borderId="72" xfId="0" applyNumberFormat="1" applyFont="1" applyBorder="1" applyAlignment="1" applyProtection="1">
      <alignment vertical="center"/>
      <protection hidden="1"/>
    </xf>
    <xf numFmtId="3" fontId="17" fillId="0" borderId="73" xfId="0" applyNumberFormat="1" applyFont="1" applyBorder="1" applyAlignment="1" applyProtection="1">
      <alignment vertical="center"/>
      <protection hidden="1"/>
    </xf>
    <xf numFmtId="3" fontId="17" fillId="0" borderId="74" xfId="0" applyNumberFormat="1" applyFont="1" applyBorder="1" applyAlignment="1" applyProtection="1">
      <alignment vertical="center"/>
      <protection hidden="1"/>
    </xf>
    <xf numFmtId="4" fontId="17" fillId="0" borderId="77" xfId="0" applyNumberFormat="1" applyFont="1" applyBorder="1" applyAlignment="1" applyProtection="1">
      <alignment horizontal="right" vertical="center"/>
      <protection hidden="1"/>
    </xf>
    <xf numFmtId="3" fontId="17" fillId="0" borderId="77" xfId="0" applyNumberFormat="1" applyFont="1" applyBorder="1" applyAlignment="1" applyProtection="1">
      <alignment horizontal="right" vertical="center"/>
      <protection hidden="1"/>
    </xf>
    <xf numFmtId="3" fontId="18" fillId="0" borderId="72" xfId="0" applyNumberFormat="1" applyFont="1" applyBorder="1" applyAlignment="1" applyProtection="1">
      <alignment vertical="center"/>
      <protection hidden="1"/>
    </xf>
    <xf numFmtId="3" fontId="18" fillId="0" borderId="73" xfId="0" applyNumberFormat="1" applyFont="1" applyBorder="1" applyAlignment="1" applyProtection="1">
      <alignment vertical="center"/>
      <protection hidden="1"/>
    </xf>
    <xf numFmtId="3" fontId="18" fillId="0" borderId="74" xfId="0" applyNumberFormat="1" applyFont="1" applyBorder="1" applyAlignment="1" applyProtection="1">
      <alignment vertical="center"/>
      <protection hidden="1"/>
    </xf>
    <xf numFmtId="3" fontId="18" fillId="0" borderId="77" xfId="0" applyNumberFormat="1" applyFont="1" applyBorder="1" applyAlignment="1" applyProtection="1">
      <alignment horizontal="right" vertical="center"/>
      <protection hidden="1"/>
    </xf>
    <xf numFmtId="0" fontId="35" fillId="14" borderId="78" xfId="0" applyFont="1" applyFill="1" applyBorder="1" applyAlignment="1" applyProtection="1">
      <alignment vertical="center"/>
      <protection hidden="1"/>
    </xf>
    <xf numFmtId="0" fontId="2" fillId="0" borderId="79" xfId="0" applyFont="1" applyBorder="1" applyAlignment="1" applyProtection="1">
      <alignment vertical="center"/>
      <protection hidden="1"/>
    </xf>
    <xf numFmtId="0" fontId="38" fillId="0" borderId="79" xfId="0" applyFont="1" applyBorder="1" applyAlignment="1" applyProtection="1">
      <alignment horizontal="left" vertical="center" indent="1"/>
      <protection hidden="1"/>
    </xf>
    <xf numFmtId="0" fontId="2" fillId="0" borderId="77" xfId="0" applyFont="1" applyBorder="1" applyAlignment="1" applyProtection="1">
      <alignment vertical="center"/>
      <protection hidden="1"/>
    </xf>
    <xf numFmtId="3" fontId="2" fillId="0" borderId="77" xfId="0" applyNumberFormat="1" applyFont="1" applyBorder="1" applyAlignment="1" applyProtection="1">
      <alignment horizontal="right" vertical="center"/>
      <protection hidden="1"/>
    </xf>
    <xf numFmtId="9" fontId="2" fillId="0" borderId="77" xfId="0" applyNumberFormat="1" applyFont="1" applyBorder="1" applyAlignment="1" applyProtection="1">
      <alignment horizontal="right" vertical="center"/>
      <protection hidden="1"/>
    </xf>
    <xf numFmtId="0" fontId="2" fillId="0" borderId="76" xfId="0" applyFont="1" applyBorder="1" applyAlignment="1" applyProtection="1">
      <alignment vertical="center"/>
      <protection hidden="1"/>
    </xf>
    <xf numFmtId="0" fontId="38" fillId="0" borderId="78" xfId="0" applyFont="1" applyBorder="1" applyAlignment="1" applyProtection="1">
      <alignment horizontal="left" vertical="center" indent="1"/>
      <protection hidden="1"/>
    </xf>
    <xf numFmtId="3" fontId="2" fillId="0" borderId="74" xfId="0" applyNumberFormat="1" applyFont="1" applyBorder="1" applyAlignment="1" applyProtection="1">
      <alignment horizontal="right" vertical="center"/>
      <protection hidden="1"/>
    </xf>
    <xf numFmtId="9" fontId="2" fillId="0" borderId="74" xfId="0" applyNumberFormat="1" applyFont="1" applyBorder="1" applyAlignment="1" applyProtection="1">
      <alignment horizontal="right" vertical="center"/>
      <protection hidden="1"/>
    </xf>
    <xf numFmtId="0" fontId="2" fillId="0" borderId="78" xfId="0" applyFont="1" applyBorder="1" applyAlignment="1" applyProtection="1">
      <alignment vertical="center"/>
      <protection hidden="1"/>
    </xf>
    <xf numFmtId="0" fontId="11" fillId="0" borderId="78" xfId="0" applyFont="1" applyBorder="1" applyAlignment="1" applyProtection="1">
      <alignment vertical="center"/>
      <protection hidden="1"/>
    </xf>
    <xf numFmtId="3" fontId="11" fillId="0" borderId="74" xfId="0" applyNumberFormat="1" applyFont="1" applyBorder="1" applyAlignment="1" applyProtection="1">
      <alignment horizontal="right" vertical="center"/>
      <protection hidden="1"/>
    </xf>
    <xf numFmtId="9" fontId="11" fillId="0" borderId="74" xfId="0" applyNumberFormat="1" applyFont="1" applyBorder="1" applyAlignment="1" applyProtection="1">
      <alignment horizontal="right" vertical="center"/>
      <protection hidden="1"/>
    </xf>
    <xf numFmtId="0" fontId="11" fillId="0" borderId="79" xfId="0" applyFont="1" applyBorder="1" applyAlignment="1" applyProtection="1">
      <alignment vertical="center"/>
      <protection hidden="1"/>
    </xf>
    <xf numFmtId="9" fontId="11" fillId="0" borderId="77" xfId="0" applyNumberFormat="1" applyFont="1" applyBorder="1" applyAlignment="1" applyProtection="1">
      <alignment horizontal="right" vertical="center"/>
      <protection hidden="1"/>
    </xf>
    <xf numFmtId="9" fontId="11" fillId="0" borderId="77" xfId="0" applyNumberFormat="1" applyFont="1" applyBorder="1" applyAlignment="1" applyProtection="1">
      <alignment vertical="center"/>
      <protection hidden="1"/>
    </xf>
    <xf numFmtId="0" fontId="14" fillId="0" borderId="0" xfId="0" applyFont="1" applyAlignment="1" applyProtection="1">
      <alignment horizontal="left" vertical="center" indent="7"/>
      <protection hidden="1"/>
    </xf>
    <xf numFmtId="0" fontId="35" fillId="14" borderId="78" xfId="0" applyFont="1" applyFill="1" applyBorder="1" applyAlignment="1" applyProtection="1">
      <alignment vertical="center" wrapText="1"/>
      <protection hidden="1"/>
    </xf>
    <xf numFmtId="0" fontId="17" fillId="0" borderId="79" xfId="0" applyFont="1" applyBorder="1" applyAlignment="1" applyProtection="1">
      <alignment vertical="center" wrapText="1"/>
      <protection hidden="1"/>
    </xf>
    <xf numFmtId="3" fontId="17" fillId="0" borderId="77" xfId="0" applyNumberFormat="1" applyFont="1" applyBorder="1" applyAlignment="1" applyProtection="1">
      <alignment horizontal="right" vertical="center" wrapText="1"/>
      <protection hidden="1"/>
    </xf>
    <xf numFmtId="0" fontId="18" fillId="0" borderId="79" xfId="0" applyFont="1" applyBorder="1" applyAlignment="1" applyProtection="1">
      <alignment vertical="center" wrapText="1"/>
      <protection hidden="1"/>
    </xf>
    <xf numFmtId="3" fontId="18" fillId="0" borderId="77" xfId="0" applyNumberFormat="1" applyFont="1" applyBorder="1" applyAlignment="1" applyProtection="1">
      <alignment horizontal="right" vertical="center" wrapText="1"/>
      <protection hidden="1"/>
    </xf>
    <xf numFmtId="0" fontId="35" fillId="14" borderId="74" xfId="0" applyFont="1" applyFill="1" applyBorder="1" applyAlignment="1" applyProtection="1">
      <alignment horizontal="center" vertical="center"/>
      <protection hidden="1"/>
    </xf>
    <xf numFmtId="0" fontId="35" fillId="14" borderId="79" xfId="0" applyFont="1" applyFill="1" applyBorder="1" applyAlignment="1" applyProtection="1">
      <alignment horizontal="center" vertical="center"/>
      <protection hidden="1"/>
    </xf>
    <xf numFmtId="0" fontId="17" fillId="0" borderId="78" xfId="0" applyFont="1" applyBorder="1" applyAlignment="1" applyProtection="1">
      <alignment vertical="center" wrapText="1"/>
      <protection hidden="1"/>
    </xf>
    <xf numFmtId="0" fontId="35" fillId="14" borderId="72" xfId="0" applyFont="1" applyFill="1" applyBorder="1" applyAlignment="1" applyProtection="1">
      <alignment vertical="center" wrapText="1"/>
      <protection hidden="1"/>
    </xf>
    <xf numFmtId="0" fontId="35" fillId="14" borderId="73" xfId="0" applyFont="1" applyFill="1" applyBorder="1" applyAlignment="1" applyProtection="1">
      <alignment vertical="center" wrapText="1"/>
      <protection hidden="1"/>
    </xf>
    <xf numFmtId="0" fontId="35" fillId="14" borderId="78" xfId="0" applyFont="1" applyFill="1" applyBorder="1" applyAlignment="1" applyProtection="1">
      <alignment horizontal="center" vertical="center" wrapText="1"/>
      <protection hidden="1"/>
    </xf>
    <xf numFmtId="3" fontId="18" fillId="0" borderId="78" xfId="0" applyNumberFormat="1" applyFont="1" applyBorder="1" applyAlignment="1" applyProtection="1">
      <alignment horizontal="right" vertical="center" wrapText="1"/>
      <protection hidden="1"/>
    </xf>
    <xf numFmtId="0" fontId="35" fillId="14" borderId="78" xfId="0" applyFont="1" applyFill="1" applyBorder="1" applyAlignment="1" applyProtection="1">
      <alignment horizontal="right" vertical="center" wrapText="1"/>
      <protection hidden="1"/>
    </xf>
    <xf numFmtId="0" fontId="2" fillId="0" borderId="79" xfId="0" applyFont="1" applyBorder="1" applyAlignment="1" applyProtection="1">
      <alignment horizontal="right" vertical="center" wrapText="1"/>
      <protection hidden="1"/>
    </xf>
    <xf numFmtId="3" fontId="2" fillId="0" borderId="77" xfId="0" applyNumberFormat="1" applyFont="1" applyBorder="1" applyAlignment="1" applyProtection="1">
      <alignment horizontal="right" vertical="center" wrapText="1"/>
      <protection hidden="1"/>
    </xf>
    <xf numFmtId="0" fontId="11" fillId="0" borderId="79" xfId="0" applyFont="1" applyBorder="1" applyAlignment="1" applyProtection="1">
      <alignment horizontal="right" vertical="center" wrapText="1"/>
      <protection hidden="1"/>
    </xf>
    <xf numFmtId="3" fontId="11" fillId="0" borderId="77" xfId="0" applyNumberFormat="1" applyFont="1" applyBorder="1" applyAlignment="1" applyProtection="1">
      <alignment horizontal="right" vertical="center" wrapText="1"/>
      <protection hidden="1"/>
    </xf>
    <xf numFmtId="0" fontId="35" fillId="14" borderId="74" xfId="0" applyFont="1" applyFill="1" applyBorder="1" applyAlignment="1" applyProtection="1">
      <alignment horizontal="center" vertical="center" wrapText="1"/>
      <protection hidden="1"/>
    </xf>
    <xf numFmtId="0" fontId="35" fillId="14" borderId="77" xfId="0" applyFont="1" applyFill="1" applyBorder="1" applyAlignment="1" applyProtection="1">
      <alignment horizontal="justify" vertical="center" wrapText="1"/>
      <protection hidden="1"/>
    </xf>
    <xf numFmtId="0" fontId="35" fillId="14" borderId="78" xfId="0" applyFont="1" applyFill="1" applyBorder="1" applyAlignment="1" applyProtection="1">
      <alignment horizontal="justify" vertical="center" wrapText="1"/>
      <protection hidden="1"/>
    </xf>
    <xf numFmtId="0" fontId="35" fillId="14" borderId="74" xfId="0" applyFont="1" applyFill="1" applyBorder="1" applyAlignment="1" applyProtection="1">
      <alignment horizontal="justify" vertical="center" wrapText="1"/>
      <protection hidden="1"/>
    </xf>
    <xf numFmtId="3" fontId="17" fillId="0" borderId="79" xfId="0" applyNumberFormat="1" applyFont="1" applyBorder="1" applyAlignment="1" applyProtection="1">
      <alignment horizontal="center" vertical="center"/>
      <protection hidden="1"/>
    </xf>
    <xf numFmtId="3" fontId="17" fillId="0" borderId="79" xfId="0" applyNumberFormat="1" applyFont="1" applyBorder="1" applyAlignment="1" applyProtection="1">
      <alignment horizontal="right" vertical="center"/>
      <protection hidden="1"/>
    </xf>
    <xf numFmtId="0" fontId="17" fillId="0" borderId="79" xfId="0" applyFont="1" applyBorder="1" applyAlignment="1" applyProtection="1">
      <alignment horizontal="center" vertical="center"/>
      <protection hidden="1"/>
    </xf>
    <xf numFmtId="0" fontId="17" fillId="0" borderId="0" xfId="0" applyFont="1" applyAlignment="1" applyProtection="1">
      <alignment horizontal="center" vertical="center"/>
      <protection hidden="1"/>
    </xf>
    <xf numFmtId="3" fontId="17" fillId="0" borderId="0" xfId="0" applyNumberFormat="1" applyFont="1" applyAlignment="1" applyProtection="1">
      <alignment horizontal="right" vertical="center"/>
      <protection hidden="1"/>
    </xf>
    <xf numFmtId="3" fontId="17" fillId="0" borderId="78" xfId="0" applyNumberFormat="1" applyFont="1" applyBorder="1" applyAlignment="1" applyProtection="1">
      <alignment horizontal="right" vertical="center" wrapText="1"/>
      <protection hidden="1"/>
    </xf>
    <xf numFmtId="0" fontId="39" fillId="0" borderId="3" xfId="0" applyFont="1" applyBorder="1" applyAlignment="1" applyProtection="1">
      <alignment vertical="center" wrapText="1"/>
      <protection hidden="1"/>
    </xf>
    <xf numFmtId="0" fontId="40" fillId="0" borderId="4" xfId="0" applyFont="1" applyBorder="1" applyAlignment="1" applyProtection="1">
      <alignment vertical="center" wrapText="1"/>
      <protection hidden="1"/>
    </xf>
    <xf numFmtId="0" fontId="40" fillId="0" borderId="5" xfId="0" applyFont="1" applyBorder="1" applyAlignment="1" applyProtection="1">
      <alignment vertical="center" wrapText="1"/>
      <protection hidden="1"/>
    </xf>
    <xf numFmtId="0" fontId="40" fillId="0" borderId="81" xfId="0" applyFont="1" applyBorder="1" applyAlignment="1" applyProtection="1">
      <alignment vertical="center" wrapText="1"/>
      <protection hidden="1"/>
    </xf>
    <xf numFmtId="0" fontId="40" fillId="0" borderId="82" xfId="0" applyFont="1" applyBorder="1" applyAlignment="1" applyProtection="1">
      <alignment vertical="center" wrapText="1"/>
      <protection hidden="1"/>
    </xf>
    <xf numFmtId="0" fontId="40" fillId="0" borderId="83" xfId="0" applyFont="1" applyBorder="1" applyAlignment="1" applyProtection="1">
      <alignment vertical="center" wrapText="1"/>
      <protection hidden="1"/>
    </xf>
    <xf numFmtId="0" fontId="40" fillId="0" borderId="76" xfId="0" applyFont="1" applyBorder="1" applyAlignment="1" applyProtection="1">
      <alignment vertical="center" wrapText="1"/>
      <protection hidden="1"/>
    </xf>
    <xf numFmtId="0" fontId="18" fillId="0" borderId="86" xfId="0" applyFont="1" applyBorder="1" applyAlignment="1" applyProtection="1">
      <alignment vertical="center" wrapText="1"/>
      <protection hidden="1"/>
    </xf>
    <xf numFmtId="0" fontId="40" fillId="0" borderId="6" xfId="0" applyFont="1" applyBorder="1" applyAlignment="1" applyProtection="1">
      <alignment vertical="center" wrapText="1"/>
      <protection hidden="1"/>
    </xf>
    <xf numFmtId="0" fontId="40" fillId="0" borderId="13" xfId="0" applyFont="1" applyBorder="1" applyAlignment="1" applyProtection="1">
      <alignment vertical="center" wrapText="1"/>
      <protection hidden="1"/>
    </xf>
    <xf numFmtId="0" fontId="26" fillId="0" borderId="1" xfId="0" applyFont="1" applyBorder="1"/>
    <xf numFmtId="0" fontId="27" fillId="0" borderId="0" xfId="0" applyFont="1"/>
    <xf numFmtId="0" fontId="43" fillId="0" borderId="1" xfId="0" applyFont="1" applyBorder="1"/>
    <xf numFmtId="0" fontId="44" fillId="0" borderId="1" xfId="0" applyFont="1" applyBorder="1"/>
    <xf numFmtId="0" fontId="43" fillId="0" borderId="1" xfId="0" applyFont="1" applyBorder="1" applyAlignment="1">
      <alignment horizontal="right"/>
    </xf>
    <xf numFmtId="3" fontId="2" fillId="0" borderId="0" xfId="0" applyNumberFormat="1" applyFont="1" applyAlignment="1">
      <alignment horizontal="right" vertical="center"/>
    </xf>
    <xf numFmtId="3" fontId="25" fillId="0" borderId="0" xfId="0" applyNumberFormat="1" applyFont="1" applyAlignment="1">
      <alignment horizontal="right" vertical="center"/>
    </xf>
    <xf numFmtId="9" fontId="25" fillId="0" borderId="0" xfId="1" applyFont="1" applyAlignment="1">
      <alignment horizontal="right" vertical="center"/>
    </xf>
    <xf numFmtId="0" fontId="13" fillId="0" borderId="0" xfId="0" applyFont="1"/>
    <xf numFmtId="3" fontId="11" fillId="0" borderId="78" xfId="0" applyNumberFormat="1" applyFont="1" applyBorder="1" applyAlignment="1">
      <alignment vertical="center" wrapText="1"/>
    </xf>
    <xf numFmtId="3" fontId="11" fillId="0" borderId="78" xfId="0" applyNumberFormat="1" applyFont="1" applyBorder="1" applyAlignment="1">
      <alignment horizontal="right" vertical="center"/>
    </xf>
    <xf numFmtId="3" fontId="23" fillId="14" borderId="78" xfId="0" applyNumberFormat="1" applyFont="1" applyFill="1" applyBorder="1" applyAlignment="1">
      <alignment horizontal="right" vertical="center"/>
    </xf>
    <xf numFmtId="9" fontId="23" fillId="14" borderId="78" xfId="1" applyFont="1" applyFill="1" applyBorder="1" applyAlignment="1">
      <alignment horizontal="right" vertical="center"/>
    </xf>
    <xf numFmtId="3" fontId="2" fillId="0" borderId="77" xfId="0" applyNumberFormat="1" applyFont="1" applyBorder="1" applyAlignment="1" applyProtection="1">
      <alignment vertical="center"/>
      <protection hidden="1"/>
    </xf>
    <xf numFmtId="3" fontId="2" fillId="0" borderId="78" xfId="0" applyNumberFormat="1" applyFont="1" applyBorder="1" applyAlignment="1" applyProtection="1">
      <alignment horizontal="right" vertical="center"/>
      <protection hidden="1"/>
    </xf>
    <xf numFmtId="0" fontId="35" fillId="14" borderId="74" xfId="0" applyFont="1" applyFill="1" applyBorder="1" applyAlignment="1" applyProtection="1">
      <alignment vertical="center" wrapText="1"/>
      <protection hidden="1"/>
    </xf>
    <xf numFmtId="3" fontId="17" fillId="0" borderId="79" xfId="0" applyNumberFormat="1" applyFont="1" applyBorder="1" applyAlignment="1" applyProtection="1">
      <alignment vertical="center" wrapText="1"/>
      <protection hidden="1"/>
    </xf>
    <xf numFmtId="3" fontId="11" fillId="0" borderId="1" xfId="0" applyNumberFormat="1" applyFont="1" applyBorder="1" applyAlignment="1">
      <alignment horizontal="center"/>
    </xf>
    <xf numFmtId="0" fontId="28" fillId="0" borderId="0" xfId="0" applyFont="1"/>
    <xf numFmtId="0" fontId="28" fillId="0" borderId="0" xfId="0" applyFont="1" applyAlignment="1">
      <alignment vertical="center"/>
    </xf>
    <xf numFmtId="0" fontId="28" fillId="0" borderId="0" xfId="0" applyFont="1" applyAlignment="1">
      <alignment vertical="top" wrapText="1"/>
    </xf>
    <xf numFmtId="0" fontId="28" fillId="0" borderId="0" xfId="0" applyFont="1" applyAlignment="1">
      <alignment horizontal="center" vertical="center"/>
    </xf>
    <xf numFmtId="0" fontId="45" fillId="0" borderId="0" xfId="0" applyFont="1" applyAlignment="1">
      <alignment horizontal="center" vertical="center"/>
    </xf>
    <xf numFmtId="0" fontId="32" fillId="0" borderId="0" xfId="0" applyFont="1" applyAlignment="1">
      <alignment horizontal="center" vertical="center"/>
    </xf>
    <xf numFmtId="0" fontId="28" fillId="12" borderId="0" xfId="0" applyFont="1" applyFill="1"/>
    <xf numFmtId="0" fontId="28" fillId="12" borderId="0" xfId="0" applyFont="1" applyFill="1" applyAlignment="1" applyProtection="1">
      <alignment horizontal="center" vertical="center"/>
      <protection locked="0"/>
    </xf>
    <xf numFmtId="17" fontId="28" fillId="0" borderId="0" xfId="0" applyNumberFormat="1" applyFont="1" applyAlignment="1">
      <alignment horizontal="center" vertical="center"/>
    </xf>
    <xf numFmtId="0" fontId="28" fillId="0" borderId="0" xfId="0" applyFont="1" applyAlignment="1">
      <alignment horizontal="right" vertical="center"/>
    </xf>
    <xf numFmtId="0" fontId="46" fillId="0" borderId="0" xfId="8" applyFont="1" applyAlignment="1" applyProtection="1">
      <alignment vertical="center"/>
    </xf>
    <xf numFmtId="0" fontId="46" fillId="0" borderId="0" xfId="8" applyFont="1" applyAlignment="1" applyProtection="1">
      <alignment horizontal="right" vertical="center"/>
    </xf>
    <xf numFmtId="0" fontId="46" fillId="0" borderId="0" xfId="8" applyFont="1" applyAlignment="1" applyProtection="1">
      <alignment horizontal="left" vertical="center" indent="1"/>
    </xf>
    <xf numFmtId="0" fontId="48" fillId="0" borderId="56" xfId="0" applyFont="1" applyBorder="1" applyAlignment="1" applyProtection="1">
      <alignment vertical="center" wrapText="1"/>
      <protection locked="0"/>
    </xf>
    <xf numFmtId="0" fontId="48" fillId="0" borderId="40" xfId="0" applyFont="1" applyBorder="1" applyAlignment="1" applyProtection="1">
      <alignment vertical="center" wrapText="1"/>
      <protection locked="0"/>
    </xf>
    <xf numFmtId="0" fontId="28" fillId="0" borderId="0" xfId="0" applyFont="1" applyProtection="1">
      <protection locked="0"/>
    </xf>
    <xf numFmtId="0" fontId="48" fillId="0" borderId="41" xfId="0" applyFont="1" applyBorder="1" applyAlignment="1" applyProtection="1">
      <alignment vertical="center" wrapText="1"/>
      <protection locked="0"/>
    </xf>
    <xf numFmtId="0" fontId="48" fillId="0" borderId="0" xfId="0" applyFont="1" applyAlignment="1" applyProtection="1">
      <alignment vertical="center" wrapText="1"/>
      <protection locked="0"/>
    </xf>
    <xf numFmtId="0" fontId="50" fillId="0" borderId="0" xfId="0" applyFont="1" applyAlignment="1" applyProtection="1">
      <alignment horizontal="justify" vertical="center"/>
      <protection locked="0"/>
    </xf>
    <xf numFmtId="0" fontId="32" fillId="0" borderId="0" xfId="0" applyFont="1" applyAlignment="1" applyProtection="1">
      <alignment horizontal="justify" vertical="center"/>
      <protection locked="0"/>
    </xf>
    <xf numFmtId="3" fontId="32" fillId="0" borderId="78" xfId="0" applyNumberFormat="1" applyFont="1" applyBorder="1" applyAlignment="1" applyProtection="1">
      <alignment vertical="center"/>
      <protection locked="0"/>
    </xf>
    <xf numFmtId="0" fontId="32" fillId="0" borderId="78" xfId="0" applyFont="1" applyBorder="1" applyAlignment="1" applyProtection="1">
      <alignment vertical="center"/>
      <protection locked="0"/>
    </xf>
    <xf numFmtId="0" fontId="28" fillId="0" borderId="78" xfId="0" applyFont="1" applyBorder="1" applyProtection="1">
      <protection locked="0"/>
    </xf>
    <xf numFmtId="0" fontId="32" fillId="0" borderId="0" xfId="0" applyFont="1" applyAlignment="1" applyProtection="1">
      <alignment horizontal="left" vertical="center" wrapText="1"/>
      <protection locked="0"/>
    </xf>
    <xf numFmtId="0" fontId="28" fillId="0" borderId="0" xfId="0" applyFont="1" applyAlignment="1" applyProtection="1">
      <alignment horizontal="justify" vertical="center"/>
      <protection locked="0"/>
    </xf>
    <xf numFmtId="0" fontId="28" fillId="0" borderId="0" xfId="0" applyFont="1" applyAlignment="1" applyProtection="1">
      <alignment horizontal="justify" vertical="center"/>
      <protection hidden="1"/>
    </xf>
    <xf numFmtId="0" fontId="28" fillId="0" borderId="0" xfId="0" applyFont="1" applyProtection="1">
      <protection hidden="1"/>
    </xf>
    <xf numFmtId="0" fontId="32" fillId="0" borderId="0" xfId="0" applyFont="1" applyAlignment="1" applyProtection="1">
      <alignment horizontal="justify" vertical="center"/>
      <protection hidden="1"/>
    </xf>
    <xf numFmtId="0" fontId="26" fillId="0" borderId="0" xfId="0" applyFont="1" applyProtection="1">
      <protection hidden="1"/>
    </xf>
    <xf numFmtId="0" fontId="28" fillId="0" borderId="0" xfId="0" applyFont="1" applyAlignment="1" applyProtection="1">
      <alignment vertical="center"/>
      <protection hidden="1"/>
    </xf>
    <xf numFmtId="0" fontId="2" fillId="0" borderId="0" xfId="0" applyFont="1" applyAlignment="1" applyProtection="1">
      <alignment vertical="center"/>
      <protection hidden="1"/>
    </xf>
    <xf numFmtId="0" fontId="28" fillId="0" borderId="0" xfId="0" applyFont="1" applyAlignment="1" applyProtection="1">
      <alignment horizontal="left" vertical="center"/>
      <protection hidden="1"/>
    </xf>
    <xf numFmtId="3" fontId="28" fillId="0" borderId="0" xfId="0" applyNumberFormat="1" applyFont="1" applyAlignment="1" applyProtection="1">
      <alignment horizontal="right" vertical="center"/>
      <protection hidden="1"/>
    </xf>
    <xf numFmtId="9" fontId="28" fillId="0" borderId="0" xfId="0" applyNumberFormat="1" applyFont="1" applyAlignment="1" applyProtection="1">
      <alignment horizontal="left" vertical="center"/>
      <protection hidden="1"/>
    </xf>
    <xf numFmtId="1" fontId="28" fillId="0" borderId="0" xfId="0" applyNumberFormat="1" applyFont="1" applyAlignment="1" applyProtection="1">
      <alignment horizontal="left" vertical="center"/>
      <protection hidden="1"/>
    </xf>
    <xf numFmtId="9" fontId="28" fillId="0" borderId="0" xfId="1" applyFont="1" applyAlignment="1" applyProtection="1">
      <alignment horizontal="right" vertical="center"/>
      <protection hidden="1"/>
    </xf>
    <xf numFmtId="0" fontId="54" fillId="0" borderId="41" xfId="0" applyFont="1" applyBorder="1" applyAlignment="1" applyProtection="1">
      <alignment vertical="center"/>
      <protection hidden="1"/>
    </xf>
    <xf numFmtId="3" fontId="35" fillId="14" borderId="16" xfId="0" applyNumberFormat="1" applyFont="1" applyFill="1" applyBorder="1" applyAlignment="1" applyProtection="1">
      <alignment vertical="center" wrapText="1"/>
      <protection hidden="1"/>
    </xf>
    <xf numFmtId="3" fontId="11" fillId="0" borderId="11" xfId="0" applyNumberFormat="1" applyFont="1" applyBorder="1" applyAlignment="1" applyProtection="1">
      <alignment vertical="center" wrapText="1"/>
      <protection hidden="1"/>
    </xf>
    <xf numFmtId="3" fontId="11" fillId="0" borderId="84" xfId="0" applyNumberFormat="1" applyFont="1" applyBorder="1" applyAlignment="1" applyProtection="1">
      <alignment vertical="center" wrapText="1"/>
      <protection hidden="1"/>
    </xf>
    <xf numFmtId="3" fontId="11" fillId="0" borderId="85" xfId="0" applyNumberFormat="1" applyFont="1" applyBorder="1" applyAlignment="1" applyProtection="1">
      <alignment vertical="center" wrapText="1"/>
      <protection hidden="1"/>
    </xf>
    <xf numFmtId="0" fontId="35" fillId="14" borderId="86" xfId="0" applyFont="1" applyFill="1" applyBorder="1" applyAlignment="1" applyProtection="1">
      <alignment vertical="center" wrapText="1"/>
      <protection hidden="1"/>
    </xf>
    <xf numFmtId="0" fontId="41" fillId="14" borderId="63" xfId="0" applyFont="1" applyFill="1" applyBorder="1" applyAlignment="1" applyProtection="1">
      <alignment vertical="center" wrapText="1"/>
      <protection hidden="1"/>
    </xf>
    <xf numFmtId="0" fontId="41" fillId="14" borderId="87" xfId="0" applyFont="1" applyFill="1" applyBorder="1" applyAlignment="1" applyProtection="1">
      <alignment vertical="center" wrapText="1"/>
      <protection hidden="1"/>
    </xf>
    <xf numFmtId="0" fontId="41" fillId="14" borderId="88" xfId="0" applyFont="1" applyFill="1" applyBorder="1" applyAlignment="1" applyProtection="1">
      <alignment vertical="center" wrapText="1"/>
      <protection hidden="1"/>
    </xf>
    <xf numFmtId="3" fontId="18" fillId="0" borderId="89" xfId="0" applyNumberFormat="1" applyFont="1" applyBorder="1" applyAlignment="1" applyProtection="1">
      <alignment vertical="center" wrapText="1"/>
      <protection hidden="1"/>
    </xf>
    <xf numFmtId="3" fontId="18" fillId="0" borderId="88" xfId="0" applyNumberFormat="1" applyFont="1" applyBorder="1" applyAlignment="1" applyProtection="1">
      <alignment vertical="center" wrapText="1"/>
      <protection hidden="1"/>
    </xf>
    <xf numFmtId="3" fontId="18" fillId="0" borderId="90" xfId="0" applyNumberFormat="1" applyFont="1" applyBorder="1" applyAlignment="1" applyProtection="1">
      <alignment vertical="center" wrapText="1"/>
      <protection hidden="1"/>
    </xf>
    <xf numFmtId="0" fontId="17" fillId="0" borderId="86" xfId="0" applyFont="1" applyBorder="1" applyAlignment="1" applyProtection="1">
      <alignment vertical="center" wrapText="1"/>
      <protection hidden="1"/>
    </xf>
    <xf numFmtId="3" fontId="2" fillId="0" borderId="90" xfId="0" applyNumberFormat="1" applyFont="1" applyBorder="1" applyAlignment="1" applyProtection="1">
      <alignment vertical="center" wrapText="1"/>
      <protection hidden="1"/>
    </xf>
    <xf numFmtId="3" fontId="2" fillId="0" borderId="89" xfId="0" applyNumberFormat="1" applyFont="1" applyBorder="1" applyAlignment="1" applyProtection="1">
      <alignment vertical="center" wrapText="1"/>
      <protection hidden="1"/>
    </xf>
    <xf numFmtId="3" fontId="2" fillId="0" borderId="88" xfId="0" applyNumberFormat="1" applyFont="1" applyBorder="1" applyAlignment="1" applyProtection="1">
      <alignment vertical="center" wrapText="1"/>
      <protection hidden="1"/>
    </xf>
    <xf numFmtId="0" fontId="18" fillId="0" borderId="91" xfId="0" applyFont="1" applyBorder="1" applyAlignment="1" applyProtection="1">
      <alignment vertical="center"/>
      <protection hidden="1"/>
    </xf>
    <xf numFmtId="3" fontId="18" fillId="0" borderId="92" xfId="0" applyNumberFormat="1" applyFont="1" applyBorder="1" applyAlignment="1" applyProtection="1">
      <alignment vertical="center"/>
      <protection hidden="1"/>
    </xf>
    <xf numFmtId="3" fontId="18" fillId="0" borderId="83" xfId="0" applyNumberFormat="1" applyFont="1" applyBorder="1" applyAlignment="1" applyProtection="1">
      <alignment vertical="center"/>
      <protection hidden="1"/>
    </xf>
    <xf numFmtId="3" fontId="18" fillId="0" borderId="93" xfId="0" applyNumberFormat="1" applyFont="1" applyBorder="1" applyAlignment="1" applyProtection="1">
      <alignment vertical="center"/>
      <protection hidden="1"/>
    </xf>
    <xf numFmtId="3" fontId="18" fillId="0" borderId="76" xfId="0" applyNumberFormat="1" applyFont="1" applyBorder="1" applyAlignment="1" applyProtection="1">
      <alignment vertical="center"/>
      <protection hidden="1"/>
    </xf>
    <xf numFmtId="0" fontId="35" fillId="14" borderId="94" xfId="0" applyFont="1" applyFill="1" applyBorder="1" applyAlignment="1" applyProtection="1">
      <alignment vertical="center" wrapText="1"/>
      <protection hidden="1"/>
    </xf>
    <xf numFmtId="3" fontId="35" fillId="14" borderId="31" xfId="0" applyNumberFormat="1" applyFont="1" applyFill="1" applyBorder="1" applyAlignment="1" applyProtection="1">
      <alignment vertical="center" wrapText="1"/>
      <protection hidden="1"/>
    </xf>
    <xf numFmtId="3" fontId="35" fillId="14" borderId="95" xfId="0" applyNumberFormat="1" applyFont="1" applyFill="1" applyBorder="1" applyAlignment="1" applyProtection="1">
      <alignment vertical="center" wrapText="1"/>
      <protection hidden="1"/>
    </xf>
    <xf numFmtId="3" fontId="35" fillId="14" borderId="96" xfId="0" applyNumberFormat="1" applyFont="1" applyFill="1" applyBorder="1" applyAlignment="1" applyProtection="1">
      <alignment vertical="center" wrapText="1"/>
      <protection hidden="1"/>
    </xf>
    <xf numFmtId="3" fontId="35" fillId="14" borderId="97" xfId="0" applyNumberFormat="1" applyFont="1" applyFill="1" applyBorder="1" applyAlignment="1" applyProtection="1">
      <alignment vertical="center" wrapText="1"/>
      <protection hidden="1"/>
    </xf>
    <xf numFmtId="3" fontId="11" fillId="0" borderId="15" xfId="0" applyNumberFormat="1" applyFont="1" applyBorder="1" applyAlignment="1" applyProtection="1">
      <alignment vertical="center" wrapText="1"/>
      <protection hidden="1"/>
    </xf>
    <xf numFmtId="0" fontId="41" fillId="14" borderId="98" xfId="0" applyFont="1" applyFill="1" applyBorder="1" applyAlignment="1" applyProtection="1">
      <alignment vertical="center" wrapText="1"/>
      <protection hidden="1"/>
    </xf>
    <xf numFmtId="3" fontId="18" fillId="0" borderId="98" xfId="0" applyNumberFormat="1" applyFont="1" applyBorder="1" applyAlignment="1" applyProtection="1">
      <alignment vertical="center" wrapText="1"/>
      <protection hidden="1"/>
    </xf>
    <xf numFmtId="3" fontId="2" fillId="0" borderId="98" xfId="0" applyNumberFormat="1" applyFont="1" applyBorder="1" applyAlignment="1" applyProtection="1">
      <alignment vertical="center" wrapText="1"/>
      <protection hidden="1"/>
    </xf>
    <xf numFmtId="3" fontId="18" fillId="0" borderId="99" xfId="0" applyNumberFormat="1" applyFont="1" applyBorder="1" applyAlignment="1" applyProtection="1">
      <alignment vertical="center"/>
      <protection hidden="1"/>
    </xf>
    <xf numFmtId="3" fontId="35" fillId="14" borderId="100" xfId="0" applyNumberFormat="1" applyFont="1" applyFill="1" applyBorder="1" applyAlignment="1" applyProtection="1">
      <alignment vertical="center" wrapText="1"/>
      <protection hidden="1"/>
    </xf>
    <xf numFmtId="0" fontId="55" fillId="0" borderId="0" xfId="0" applyFont="1"/>
    <xf numFmtId="0" fontId="55" fillId="0" borderId="0" xfId="0" applyFont="1" applyAlignment="1">
      <alignment horizontal="center" vertical="center"/>
    </xf>
    <xf numFmtId="3" fontId="18" fillId="0" borderId="16" xfId="0" applyNumberFormat="1" applyFont="1" applyBorder="1" applyAlignment="1" applyProtection="1">
      <alignment vertical="center" wrapText="1"/>
      <protection hidden="1"/>
    </xf>
    <xf numFmtId="0" fontId="41" fillId="14" borderId="86" xfId="0" applyFont="1" applyFill="1" applyBorder="1" applyAlignment="1" applyProtection="1">
      <alignment vertical="center" wrapText="1"/>
      <protection hidden="1"/>
    </xf>
    <xf numFmtId="3" fontId="18" fillId="0" borderId="86" xfId="0" applyNumberFormat="1" applyFont="1" applyBorder="1" applyAlignment="1" applyProtection="1">
      <alignment vertical="center" wrapText="1"/>
      <protection hidden="1"/>
    </xf>
    <xf numFmtId="0" fontId="40" fillId="0" borderId="101" xfId="0" applyFont="1" applyBorder="1" applyAlignment="1" applyProtection="1">
      <alignment vertical="center" wrapText="1"/>
      <protection hidden="1"/>
    </xf>
    <xf numFmtId="3" fontId="11" fillId="0" borderId="103" xfId="0" applyNumberFormat="1" applyFont="1" applyBorder="1" applyAlignment="1" applyProtection="1">
      <alignment vertical="center" wrapText="1"/>
      <protection hidden="1"/>
    </xf>
    <xf numFmtId="0" fontId="41" fillId="14" borderId="104" xfId="0" applyFont="1" applyFill="1" applyBorder="1" applyAlignment="1" applyProtection="1">
      <alignment vertical="center" wrapText="1"/>
      <protection hidden="1"/>
    </xf>
    <xf numFmtId="3" fontId="18" fillId="0" borderId="103" xfId="0" applyNumberFormat="1" applyFont="1" applyBorder="1" applyAlignment="1" applyProtection="1">
      <alignment vertical="center" wrapText="1"/>
      <protection hidden="1"/>
    </xf>
    <xf numFmtId="3" fontId="18" fillId="0" borderId="104" xfId="0" applyNumberFormat="1" applyFont="1" applyBorder="1" applyAlignment="1" applyProtection="1">
      <alignment vertical="center" wrapText="1"/>
      <protection hidden="1"/>
    </xf>
    <xf numFmtId="3" fontId="2" fillId="0" borderId="104" xfId="0" applyNumberFormat="1" applyFont="1" applyBorder="1" applyAlignment="1" applyProtection="1">
      <alignment vertical="center" wrapText="1"/>
      <protection hidden="1"/>
    </xf>
    <xf numFmtId="3" fontId="18" fillId="0" borderId="105" xfId="0" applyNumberFormat="1" applyFont="1" applyBorder="1" applyAlignment="1" applyProtection="1">
      <alignment vertical="center"/>
      <protection hidden="1"/>
    </xf>
    <xf numFmtId="3" fontId="35" fillId="14" borderId="106" xfId="0" applyNumberFormat="1" applyFont="1" applyFill="1" applyBorder="1" applyAlignment="1" applyProtection="1">
      <alignment vertical="center" wrapText="1"/>
      <protection hidden="1"/>
    </xf>
    <xf numFmtId="3" fontId="35" fillId="14" borderId="1" xfId="0" applyNumberFormat="1" applyFont="1" applyFill="1" applyBorder="1" applyAlignment="1" applyProtection="1">
      <alignment vertical="center" wrapText="1"/>
      <protection hidden="1"/>
    </xf>
    <xf numFmtId="3" fontId="35" fillId="14" borderId="1" xfId="0" applyNumberFormat="1" applyFont="1" applyFill="1" applyBorder="1" applyAlignment="1" applyProtection="1">
      <alignment horizontal="center" vertical="center" wrapText="1"/>
      <protection hidden="1"/>
    </xf>
    <xf numFmtId="0" fontId="40" fillId="0" borderId="82" xfId="0" applyFont="1" applyBorder="1" applyAlignment="1" applyProtection="1">
      <alignment horizontal="center" vertical="center" wrapText="1"/>
      <protection hidden="1"/>
    </xf>
    <xf numFmtId="0" fontId="40" fillId="0" borderId="102" xfId="0" applyFont="1" applyBorder="1" applyAlignment="1" applyProtection="1">
      <alignment horizontal="center" vertical="center" wrapText="1"/>
      <protection hidden="1"/>
    </xf>
    <xf numFmtId="0" fontId="28" fillId="15" borderId="0" xfId="0" applyFont="1" applyFill="1"/>
    <xf numFmtId="0" fontId="14" fillId="0" borderId="0" xfId="0" applyFont="1" applyAlignment="1" applyProtection="1">
      <alignment horizontal="left" vertical="center" indent="7"/>
      <protection hidden="1"/>
    </xf>
    <xf numFmtId="0" fontId="35" fillId="14" borderId="75" xfId="0" applyFont="1" applyFill="1" applyBorder="1" applyAlignment="1" applyProtection="1">
      <alignment vertical="center" wrapText="1"/>
      <protection hidden="1"/>
    </xf>
    <xf numFmtId="0" fontId="35" fillId="14" borderId="80" xfId="0" applyFont="1" applyFill="1" applyBorder="1" applyAlignment="1" applyProtection="1">
      <alignment vertical="center" wrapText="1"/>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left" vertical="center" indent="5"/>
      <protection hidden="1"/>
    </xf>
    <xf numFmtId="0" fontId="14" fillId="0" borderId="0" xfId="0" applyFont="1" applyAlignment="1" applyProtection="1">
      <alignment horizontal="left" vertical="center" indent="8"/>
      <protection hidden="1"/>
    </xf>
    <xf numFmtId="0" fontId="18" fillId="0" borderId="72" xfId="0" applyFont="1" applyBorder="1" applyAlignment="1" applyProtection="1">
      <alignment vertical="center" wrapText="1"/>
      <protection hidden="1"/>
    </xf>
    <xf numFmtId="0" fontId="18" fillId="0" borderId="74" xfId="0" applyFont="1" applyBorder="1" applyAlignment="1" applyProtection="1">
      <alignment vertical="center" wrapText="1"/>
      <protection hidden="1"/>
    </xf>
    <xf numFmtId="3" fontId="17" fillId="0" borderId="78" xfId="0" applyNumberFormat="1" applyFont="1" applyBorder="1" applyAlignment="1" applyProtection="1">
      <alignment horizontal="left" vertical="center" wrapText="1"/>
      <protection hidden="1"/>
    </xf>
    <xf numFmtId="0" fontId="17" fillId="0" borderId="78" xfId="0" applyFont="1" applyBorder="1" applyAlignment="1" applyProtection="1">
      <alignment horizontal="left" vertical="center" wrapText="1"/>
      <protection hidden="1"/>
    </xf>
    <xf numFmtId="0" fontId="14" fillId="0" borderId="0" xfId="0" applyFont="1" applyAlignment="1" applyProtection="1">
      <alignment horizontal="left" vertical="center"/>
      <protection locked="0"/>
    </xf>
    <xf numFmtId="3" fontId="18" fillId="0" borderId="72" xfId="0" applyNumberFormat="1" applyFont="1" applyBorder="1" applyAlignment="1" applyProtection="1">
      <alignment vertical="center"/>
      <protection hidden="1"/>
    </xf>
    <xf numFmtId="3" fontId="18" fillId="0" borderId="73" xfId="0" applyNumberFormat="1" applyFont="1" applyBorder="1" applyAlignment="1" applyProtection="1">
      <alignment vertical="center"/>
      <protection hidden="1"/>
    </xf>
    <xf numFmtId="3" fontId="18" fillId="0" borderId="74" xfId="0" applyNumberFormat="1" applyFont="1" applyBorder="1" applyAlignment="1" applyProtection="1">
      <alignment vertical="center"/>
      <protection hidden="1"/>
    </xf>
    <xf numFmtId="0" fontId="32" fillId="0" borderId="0" xfId="0" applyFont="1" applyAlignment="1" applyProtection="1">
      <alignment horizontal="left" vertical="center" wrapText="1"/>
      <protection locked="0"/>
    </xf>
    <xf numFmtId="0" fontId="35" fillId="14" borderId="72" xfId="0" applyFont="1" applyFill="1" applyBorder="1" applyAlignment="1" applyProtection="1">
      <alignment vertical="center"/>
      <protection hidden="1"/>
    </xf>
    <xf numFmtId="0" fontId="35" fillId="14" borderId="73" xfId="0" applyFont="1" applyFill="1" applyBorder="1" applyAlignment="1" applyProtection="1">
      <alignment vertical="center"/>
      <protection hidden="1"/>
    </xf>
    <xf numFmtId="0" fontId="35" fillId="14" borderId="74" xfId="0" applyFont="1" applyFill="1" applyBorder="1" applyAlignment="1" applyProtection="1">
      <alignment vertical="center"/>
      <protection hidden="1"/>
    </xf>
    <xf numFmtId="0" fontId="18" fillId="0" borderId="72" xfId="0" applyFont="1" applyBorder="1" applyAlignment="1" applyProtection="1">
      <alignment vertical="center"/>
      <protection hidden="1"/>
    </xf>
    <xf numFmtId="0" fontId="18" fillId="0" borderId="73" xfId="0" applyFont="1" applyBorder="1" applyAlignment="1" applyProtection="1">
      <alignment vertical="center"/>
      <protection hidden="1"/>
    </xf>
    <xf numFmtId="0" fontId="18" fillId="0" borderId="74" xfId="0" applyFont="1" applyBorder="1" applyAlignment="1" applyProtection="1">
      <alignment vertical="center"/>
      <protection hidden="1"/>
    </xf>
    <xf numFmtId="0" fontId="5" fillId="0" borderId="0" xfId="0" applyFont="1" applyAlignment="1">
      <alignment horizontal="center" vertical="center" wrapText="1"/>
    </xf>
    <xf numFmtId="0" fontId="33" fillId="0" borderId="0" xfId="0" applyFont="1" applyAlignment="1">
      <alignment horizontal="center" vertical="center"/>
    </xf>
    <xf numFmtId="0" fontId="48" fillId="11" borderId="61" xfId="0" applyFont="1" applyFill="1" applyBorder="1" applyAlignment="1" applyProtection="1">
      <alignment vertical="center" wrapText="1"/>
      <protection locked="0"/>
    </xf>
    <xf numFmtId="0" fontId="48" fillId="11" borderId="62" xfId="0" applyFont="1" applyFill="1" applyBorder="1" applyAlignment="1" applyProtection="1">
      <alignment vertical="center" wrapText="1"/>
      <protection locked="0"/>
    </xf>
    <xf numFmtId="0" fontId="32" fillId="0" borderId="78" xfId="0" applyFont="1" applyBorder="1" applyAlignment="1" applyProtection="1">
      <alignment vertical="center"/>
      <protection locked="0"/>
    </xf>
    <xf numFmtId="0" fontId="5" fillId="0" borderId="0" xfId="0" applyFont="1" applyAlignment="1" applyProtection="1">
      <alignment horizontal="center" vertical="center" wrapText="1"/>
      <protection locked="0"/>
    </xf>
    <xf numFmtId="0" fontId="32" fillId="0" borderId="0" xfId="0" applyFont="1" applyAlignment="1">
      <alignment horizontal="center" vertical="center" wrapText="1"/>
    </xf>
    <xf numFmtId="0" fontId="48" fillId="0" borderId="41" xfId="0" applyFont="1" applyBorder="1" applyAlignment="1" applyProtection="1">
      <alignment vertical="center" wrapText="1"/>
      <protection locked="0"/>
    </xf>
    <xf numFmtId="0" fontId="48" fillId="0" borderId="0" xfId="0" applyFont="1" applyAlignment="1" applyProtection="1">
      <alignment vertical="center" wrapText="1"/>
      <protection locked="0"/>
    </xf>
    <xf numFmtId="0" fontId="14" fillId="0" borderId="52" xfId="0" applyFont="1" applyBorder="1" applyAlignment="1" applyProtection="1">
      <alignment horizontal="center" vertical="center"/>
      <protection locked="0"/>
    </xf>
    <xf numFmtId="0" fontId="32" fillId="0" borderId="0" xfId="0" applyFont="1" applyAlignment="1" applyProtection="1">
      <alignment horizontal="justify" vertical="center"/>
      <protection locked="0"/>
    </xf>
    <xf numFmtId="0" fontId="35" fillId="14" borderId="78" xfId="0" applyFont="1" applyFill="1" applyBorder="1" applyAlignment="1" applyProtection="1">
      <alignment horizontal="center" vertical="center" wrapText="1"/>
      <protection hidden="1"/>
    </xf>
    <xf numFmtId="0" fontId="47" fillId="3" borderId="53" xfId="0" applyFont="1" applyFill="1" applyBorder="1" applyAlignment="1" applyProtection="1">
      <alignment horizontal="justify" vertical="center" wrapText="1"/>
      <protection locked="0"/>
    </xf>
    <xf numFmtId="0" fontId="47" fillId="3" borderId="54" xfId="0" applyFont="1" applyFill="1" applyBorder="1" applyAlignment="1" applyProtection="1">
      <alignment horizontal="justify" vertical="center" wrapText="1"/>
      <protection locked="0"/>
    </xf>
    <xf numFmtId="0" fontId="47" fillId="3" borderId="55" xfId="0" applyFont="1" applyFill="1" applyBorder="1" applyAlignment="1" applyProtection="1">
      <alignment horizontal="justify" vertical="center" wrapText="1"/>
      <protection locked="0"/>
    </xf>
    <xf numFmtId="0" fontId="14" fillId="0" borderId="56" xfId="0" applyFont="1" applyBorder="1" applyAlignment="1" applyProtection="1">
      <alignment horizontal="left" vertical="center" wrapText="1"/>
      <protection locked="0"/>
    </xf>
    <xf numFmtId="0" fontId="14" fillId="0" borderId="40" xfId="0" applyFont="1" applyBorder="1" applyAlignment="1" applyProtection="1">
      <alignment horizontal="left" vertical="center" wrapText="1"/>
      <protection locked="0"/>
    </xf>
    <xf numFmtId="0" fontId="14" fillId="13" borderId="40" xfId="0" applyFont="1" applyFill="1" applyBorder="1" applyAlignment="1" applyProtection="1">
      <alignment vertical="center" wrapText="1"/>
      <protection locked="0"/>
    </xf>
    <xf numFmtId="0" fontId="14" fillId="13" borderId="57" xfId="0" applyFont="1" applyFill="1" applyBorder="1" applyAlignment="1" applyProtection="1">
      <alignment vertical="center" wrapText="1"/>
      <protection locked="0"/>
    </xf>
    <xf numFmtId="0" fontId="28" fillId="0" borderId="58" xfId="0" applyFont="1" applyBorder="1" applyAlignment="1" applyProtection="1">
      <alignment horizontal="justify" vertical="center" wrapText="1"/>
      <protection locked="0"/>
    </xf>
    <xf numFmtId="0" fontId="28" fillId="0" borderId="42" xfId="0" applyFont="1" applyBorder="1" applyAlignment="1" applyProtection="1">
      <alignment horizontal="justify" vertical="center" wrapText="1"/>
      <protection locked="0"/>
    </xf>
    <xf numFmtId="0" fontId="28" fillId="0" borderId="44" xfId="0" applyFont="1" applyBorder="1" applyAlignment="1" applyProtection="1">
      <alignment horizontal="justify" vertical="center" wrapText="1"/>
      <protection locked="0"/>
    </xf>
    <xf numFmtId="0" fontId="48" fillId="11" borderId="59" xfId="0" applyFont="1" applyFill="1" applyBorder="1" applyAlignment="1" applyProtection="1">
      <alignment vertical="center" wrapText="1"/>
      <protection locked="0"/>
    </xf>
    <xf numFmtId="0" fontId="48" fillId="11" borderId="60" xfId="0" applyFont="1" applyFill="1" applyBorder="1" applyAlignment="1" applyProtection="1">
      <alignment vertical="center" wrapText="1"/>
      <protection locked="0"/>
    </xf>
    <xf numFmtId="0" fontId="14" fillId="0" borderId="0" xfId="0" applyFont="1" applyAlignment="1" applyProtection="1">
      <alignment horizontal="left" vertical="center" indent="6"/>
      <protection hidden="1"/>
    </xf>
    <xf numFmtId="0" fontId="35" fillId="14" borderId="72" xfId="0" applyFont="1" applyFill="1" applyBorder="1" applyAlignment="1" applyProtection="1">
      <alignment horizontal="center" vertical="center"/>
      <protection hidden="1"/>
    </xf>
    <xf numFmtId="0" fontId="35" fillId="14" borderId="73" xfId="0" applyFont="1" applyFill="1" applyBorder="1" applyAlignment="1" applyProtection="1">
      <alignment horizontal="center" vertical="center"/>
      <protection hidden="1"/>
    </xf>
    <xf numFmtId="0" fontId="35" fillId="14" borderId="74" xfId="0" applyFont="1" applyFill="1" applyBorder="1" applyAlignment="1" applyProtection="1">
      <alignment horizontal="center" vertical="center"/>
      <protection hidden="1"/>
    </xf>
  </cellXfs>
  <cellStyles count="9">
    <cellStyle name="Lien hypertexte 2" xfId="8" xr:uid="{90DB861A-05F4-489A-8682-920BDD1A7E3A}"/>
    <cellStyle name="Milliers" xfId="5" builtinId="3"/>
    <cellStyle name="Milliers 2" xfId="6" xr:uid="{B5DA6BDB-74BB-415D-B7A7-F107B9412F8E}"/>
    <cellStyle name="Milliers 2 2" xfId="2" xr:uid="{E46F8A47-CC17-4F0D-BC3B-9DF597EB431E}"/>
    <cellStyle name="Milliers 3" xfId="7" xr:uid="{939CFE5B-51F6-471E-B8F8-79CCED818D3A}"/>
    <cellStyle name="Milliers 4 2" xfId="4" xr:uid="{EC433DA8-577E-472C-847B-49F748286971}"/>
    <cellStyle name="Normal" xfId="0" builtinId="0"/>
    <cellStyle name="Normal 2" xfId="3" xr:uid="{C84D36F6-001B-4641-84B2-ACC1DD8027EA}"/>
    <cellStyle name="Pourcentage" xfId="1" builtinId="5"/>
  </cellStyles>
  <dxfs count="5">
    <dxf>
      <font>
        <b/>
        <i val="0"/>
        <color rgb="FFFF0000"/>
      </font>
    </dxf>
    <dxf>
      <font>
        <b/>
        <i val="0"/>
        <color rgb="FFFF0000"/>
      </font>
    </dxf>
    <dxf>
      <font>
        <b/>
        <i val="0"/>
        <color rgb="FFFF0000"/>
      </font>
      <fill>
        <patternFill>
          <bgColor theme="0"/>
        </patternFill>
      </fill>
    </dxf>
    <dxf>
      <font>
        <b/>
        <i val="0"/>
        <color rgb="FFFF0000"/>
      </font>
      <fill>
        <patternFill>
          <bgColor theme="0"/>
        </patternFill>
      </fill>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21</xdr:row>
      <xdr:rowOff>47624</xdr:rowOff>
    </xdr:from>
    <xdr:to>
      <xdr:col>3</xdr:col>
      <xdr:colOff>359682</xdr:colOff>
      <xdr:row>77</xdr:row>
      <xdr:rowOff>36653</xdr:rowOff>
    </xdr:to>
    <xdr:pic>
      <xdr:nvPicPr>
        <xdr:cNvPr id="2" name="Image 1">
          <a:extLst>
            <a:ext uri="{FF2B5EF4-FFF2-40B4-BE49-F238E27FC236}">
              <a16:creationId xmlns:a16="http://schemas.microsoft.com/office/drawing/2014/main" id="{540A5270-9EA8-4E0E-BE21-495C30F21B4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7217" t="347" r="29631" b="14"/>
        <a:stretch/>
      </xdr:blipFill>
      <xdr:spPr>
        <a:xfrm>
          <a:off x="1" y="4416424"/>
          <a:ext cx="6867524" cy="1068467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579677</xdr:colOff>
      <xdr:row>42</xdr:row>
      <xdr:rowOff>112810</xdr:rowOff>
    </xdr:from>
    <xdr:to>
      <xdr:col>4</xdr:col>
      <xdr:colOff>312977</xdr:colOff>
      <xdr:row>44</xdr:row>
      <xdr:rowOff>37476</xdr:rowOff>
    </xdr:to>
    <xdr:sp macro="" textlink="">
      <xdr:nvSpPr>
        <xdr:cNvPr id="3" name="Rectangle 1">
          <a:extLst>
            <a:ext uri="{FF2B5EF4-FFF2-40B4-BE49-F238E27FC236}">
              <a16:creationId xmlns:a16="http://schemas.microsoft.com/office/drawing/2014/main" id="{B37A550E-7D6E-417A-AFE1-80EC1110C34C}"/>
            </a:ext>
          </a:extLst>
        </xdr:cNvPr>
        <xdr:cNvSpPr>
          <a:spLocks noChangeArrowheads="1"/>
        </xdr:cNvSpPr>
      </xdr:nvSpPr>
      <xdr:spPr bwMode="auto">
        <a:xfrm>
          <a:off x="2173527" y="9250460"/>
          <a:ext cx="2552700" cy="305666"/>
        </a:xfrm>
        <a:prstGeom prst="rect">
          <a:avLst/>
        </a:prstGeom>
        <a:solidFill>
          <a:srgbClr val="00B050"/>
        </a:solidFill>
        <a:ln w="25400">
          <a:solidFill>
            <a:srgbClr val="00B050"/>
          </a:solidFill>
          <a:miter lim="800000"/>
          <a:headEnd/>
          <a:tailEnd/>
        </a:ln>
      </xdr:spPr>
      <xdr:txBody>
        <a:bodyPr vertOverflow="clip" wrap="square" lIns="91440" tIns="45720" rIns="91440" bIns="45720" anchor="ctr" upright="1"/>
        <a:lstStyle/>
        <a:p>
          <a:pPr algn="ctr" rtl="0">
            <a:defRPr sz="1000"/>
          </a:pPr>
          <a:r>
            <a:rPr lang="fr-FR" sz="1200" b="1" i="0" u="none" strike="noStrike" baseline="0">
              <a:solidFill>
                <a:srgbClr val="000000"/>
              </a:solidFill>
              <a:latin typeface="Arial"/>
              <a:cs typeface="Arial"/>
            </a:rPr>
            <a:t>Business Plan</a:t>
          </a:r>
        </a:p>
      </xdr:txBody>
    </xdr:sp>
    <xdr:clientData/>
  </xdr:twoCellAnchor>
  <xdr:twoCellAnchor>
    <xdr:from>
      <xdr:col>0</xdr:col>
      <xdr:colOff>383117</xdr:colOff>
      <xdr:row>36</xdr:row>
      <xdr:rowOff>139217</xdr:rowOff>
    </xdr:from>
    <xdr:to>
      <xdr:col>6</xdr:col>
      <xdr:colOff>354542</xdr:colOff>
      <xdr:row>40</xdr:row>
      <xdr:rowOff>145279</xdr:rowOff>
    </xdr:to>
    <xdr:sp macro="" textlink="">
      <xdr:nvSpPr>
        <xdr:cNvPr id="4" name="AutoShape 21">
          <a:extLst>
            <a:ext uri="{FF2B5EF4-FFF2-40B4-BE49-F238E27FC236}">
              <a16:creationId xmlns:a16="http://schemas.microsoft.com/office/drawing/2014/main" id="{9B55FA4B-5C41-44A2-8B25-DBFA60ABCC8D}"/>
            </a:ext>
          </a:extLst>
        </xdr:cNvPr>
        <xdr:cNvSpPr>
          <a:spLocks noChangeArrowheads="1"/>
        </xdr:cNvSpPr>
      </xdr:nvSpPr>
      <xdr:spPr bwMode="auto">
        <a:xfrm>
          <a:off x="383117" y="8171967"/>
          <a:ext cx="6029325" cy="742662"/>
        </a:xfrm>
        <a:prstGeom prst="roundRect">
          <a:avLst>
            <a:gd name="adj" fmla="val 16667"/>
          </a:avLst>
        </a:prstGeom>
        <a:solidFill>
          <a:srgbClr val="FFFFFF"/>
        </a:solidFill>
        <a:ln w="31750">
          <a:solidFill>
            <a:srgbClr val="FFC000"/>
          </a:solidFill>
          <a:round/>
          <a:headEnd/>
          <a:tailEnd/>
        </a:ln>
        <a:effectLst/>
        <a:extLst>
          <a:ext uri="{AF507438-7753-43E0-B8FC-AC1667EBCBE1}">
            <a14:hiddenEffects xmlns:a14="http://schemas.microsoft.com/office/drawing/2010/main">
              <a:effectLst>
                <a:outerShdw dist="35921" dir="2700000" algn="ctr" rotWithShape="0">
                  <a:srgbClr val="868686"/>
                </a:outerShdw>
              </a:effectLst>
            </a14:hiddenEffects>
          </a:ext>
        </a:extLst>
      </xdr:spPr>
      <xdr:txBody>
        <a:bodyPr vertOverflow="clip" wrap="square" lIns="91440" tIns="45720" rIns="91440" bIns="45720" anchor="ctr" upright="1"/>
        <a:lstStyle/>
        <a:p>
          <a:pPr algn="ctr" rtl="0">
            <a:defRPr sz="1000"/>
          </a:pPr>
          <a:r>
            <a:rPr lang="fr-FR" sz="1500" b="1" i="0" u="none" strike="noStrike" baseline="0">
              <a:solidFill>
                <a:srgbClr val="00B050"/>
              </a:solidFill>
              <a:latin typeface="Arial Black"/>
            </a:rPr>
            <a:t>Importation et vente de produits de gros</a:t>
          </a:r>
        </a:p>
      </xdr:txBody>
    </xdr:sp>
    <xdr:clientData/>
  </xdr:twoCellAnchor>
  <xdr:twoCellAnchor>
    <xdr:from>
      <xdr:col>5</xdr:col>
      <xdr:colOff>656167</xdr:colOff>
      <xdr:row>70</xdr:row>
      <xdr:rowOff>148167</xdr:rowOff>
    </xdr:from>
    <xdr:to>
      <xdr:col>6</xdr:col>
      <xdr:colOff>561975</xdr:colOff>
      <xdr:row>73</xdr:row>
      <xdr:rowOff>57151</xdr:rowOff>
    </xdr:to>
    <xdr:grpSp>
      <xdr:nvGrpSpPr>
        <xdr:cNvPr id="5" name="Groupe 4">
          <a:extLst>
            <a:ext uri="{FF2B5EF4-FFF2-40B4-BE49-F238E27FC236}">
              <a16:creationId xmlns:a16="http://schemas.microsoft.com/office/drawing/2014/main" id="{6A0ADA07-FDD0-4894-B79C-BF923424A030}"/>
            </a:ext>
          </a:extLst>
        </xdr:cNvPr>
        <xdr:cNvGrpSpPr/>
      </xdr:nvGrpSpPr>
      <xdr:grpSpPr>
        <a:xfrm>
          <a:off x="10263343" y="13460755"/>
          <a:ext cx="787338" cy="446867"/>
          <a:chOff x="4130345" y="9959576"/>
          <a:chExt cx="860820" cy="622701"/>
        </a:xfrm>
        <a:noFill/>
      </xdr:grpSpPr>
      <xdr:pic>
        <xdr:nvPicPr>
          <xdr:cNvPr id="6" name="Image 5">
            <a:extLst>
              <a:ext uri="{FF2B5EF4-FFF2-40B4-BE49-F238E27FC236}">
                <a16:creationId xmlns:a16="http://schemas.microsoft.com/office/drawing/2014/main" id="{7B33DB65-7A82-4E1F-A63C-26C8616A26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90999" y="9959576"/>
            <a:ext cx="752475" cy="470297"/>
          </a:xfrm>
          <a:prstGeom prst="rect">
            <a:avLst/>
          </a:prstGeom>
          <a:grpFill/>
        </xdr:spPr>
      </xdr:pic>
      <xdr:sp macro="" textlink="">
        <xdr:nvSpPr>
          <xdr:cNvPr id="7" name="ZoneTexte 6">
            <a:extLst>
              <a:ext uri="{FF2B5EF4-FFF2-40B4-BE49-F238E27FC236}">
                <a16:creationId xmlns:a16="http://schemas.microsoft.com/office/drawing/2014/main" id="{76AB84FB-8334-4094-82F7-C51A1719C156}"/>
              </a:ext>
            </a:extLst>
          </xdr:cNvPr>
          <xdr:cNvSpPr txBox="1"/>
        </xdr:nvSpPr>
        <xdr:spPr>
          <a:xfrm>
            <a:off x="4130345" y="10380815"/>
            <a:ext cx="860820" cy="2014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00"/>
              <a:t>Expert</a:t>
            </a:r>
            <a:r>
              <a:rPr lang="fr-FR" sz="300" baseline="0"/>
              <a:t> in business design</a:t>
            </a:r>
            <a:endParaRPr lang="fr-FR" sz="300"/>
          </a:p>
        </xdr:txBody>
      </xdr:sp>
    </xdr:grpSp>
    <xdr:clientData/>
  </xdr:twoCellAnchor>
  <xdr:twoCellAnchor>
    <xdr:from>
      <xdr:col>6</xdr:col>
      <xdr:colOff>28575</xdr:colOff>
      <xdr:row>5</xdr:row>
      <xdr:rowOff>47625</xdr:rowOff>
    </xdr:from>
    <xdr:to>
      <xdr:col>11</xdr:col>
      <xdr:colOff>28572</xdr:colOff>
      <xdr:row>14</xdr:row>
      <xdr:rowOff>0</xdr:rowOff>
    </xdr:to>
    <xdr:grpSp>
      <xdr:nvGrpSpPr>
        <xdr:cNvPr id="8" name="Groupe 7">
          <a:extLst>
            <a:ext uri="{FF2B5EF4-FFF2-40B4-BE49-F238E27FC236}">
              <a16:creationId xmlns:a16="http://schemas.microsoft.com/office/drawing/2014/main" id="{A1FD7F92-3C78-46C6-8ACF-9C6836BCC821}"/>
            </a:ext>
          </a:extLst>
        </xdr:cNvPr>
        <xdr:cNvGrpSpPr/>
      </xdr:nvGrpSpPr>
      <xdr:grpSpPr>
        <a:xfrm>
          <a:off x="10517281" y="944096"/>
          <a:ext cx="6917762" cy="1580963"/>
          <a:chOff x="4657724" y="1343025"/>
          <a:chExt cx="2933700" cy="1562100"/>
        </a:xfrm>
      </xdr:grpSpPr>
      <xdr:sp macro="" textlink="">
        <xdr:nvSpPr>
          <xdr:cNvPr id="9" name="Flèche droite 8">
            <a:extLst>
              <a:ext uri="{FF2B5EF4-FFF2-40B4-BE49-F238E27FC236}">
                <a16:creationId xmlns:a16="http://schemas.microsoft.com/office/drawing/2014/main" id="{F14C4768-C2ED-4606-803C-96D9AD514620}"/>
              </a:ext>
            </a:extLst>
          </xdr:cNvPr>
          <xdr:cNvSpPr/>
        </xdr:nvSpPr>
        <xdr:spPr>
          <a:xfrm rot="10800000">
            <a:off x="4657724" y="1343025"/>
            <a:ext cx="2933700" cy="1562100"/>
          </a:xfrm>
          <a:prstGeom prst="rightArrow">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0" name="ZoneTexte 9">
            <a:extLst>
              <a:ext uri="{FF2B5EF4-FFF2-40B4-BE49-F238E27FC236}">
                <a16:creationId xmlns:a16="http://schemas.microsoft.com/office/drawing/2014/main" id="{6A35235B-4254-47AF-96A5-2452DFA6A8BB}"/>
              </a:ext>
            </a:extLst>
          </xdr:cNvPr>
          <xdr:cNvSpPr txBox="1"/>
        </xdr:nvSpPr>
        <xdr:spPr>
          <a:xfrm>
            <a:off x="5695949" y="1857375"/>
            <a:ext cx="17621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latin typeface="Arial" panose="020B0604020202020204" pitchFamily="34" charset="0"/>
                <a:cs typeface="Arial" panose="020B0604020202020204" pitchFamily="34" charset="0"/>
              </a:rPr>
              <a:t>Etape</a:t>
            </a:r>
            <a:r>
              <a:rPr lang="fr-FR" sz="1000" b="1" baseline="0">
                <a:latin typeface="Arial" panose="020B0604020202020204" pitchFamily="34" charset="0"/>
                <a:cs typeface="Arial" panose="020B0604020202020204" pitchFamily="34" charset="0"/>
              </a:rPr>
              <a:t> 1 </a:t>
            </a:r>
          </a:p>
          <a:p>
            <a:pPr algn="ctr"/>
            <a:r>
              <a:rPr lang="fr-FR" sz="1000" b="1" baseline="0">
                <a:latin typeface="Arial" panose="020B0604020202020204" pitchFamily="34" charset="0"/>
                <a:cs typeface="Arial" panose="020B0604020202020204" pitchFamily="34" charset="0"/>
              </a:rPr>
              <a:t>Compléter ces variables (cellules grisées) selon vos besoins.</a:t>
            </a:r>
            <a:endParaRPr lang="fr-FR" sz="1000" b="1">
              <a:latin typeface="Arial" panose="020B0604020202020204" pitchFamily="34" charset="0"/>
              <a:cs typeface="Arial" panose="020B0604020202020204" pitchFamily="34" charset="0"/>
            </a:endParaRPr>
          </a:p>
        </xdr:txBody>
      </xdr:sp>
    </xdr:grpSp>
    <xdr:clientData/>
  </xdr:twoCellAnchor>
  <xdr:twoCellAnchor>
    <xdr:from>
      <xdr:col>11</xdr:col>
      <xdr:colOff>28572</xdr:colOff>
      <xdr:row>10</xdr:row>
      <xdr:rowOff>47625</xdr:rowOff>
    </xdr:from>
    <xdr:to>
      <xdr:col>11</xdr:col>
      <xdr:colOff>38100</xdr:colOff>
      <xdr:row>50</xdr:row>
      <xdr:rowOff>123825</xdr:rowOff>
    </xdr:to>
    <xdr:cxnSp macro="">
      <xdr:nvCxnSpPr>
        <xdr:cNvPr id="11" name="Connecteur droit avec flèche 10">
          <a:extLst>
            <a:ext uri="{FF2B5EF4-FFF2-40B4-BE49-F238E27FC236}">
              <a16:creationId xmlns:a16="http://schemas.microsoft.com/office/drawing/2014/main" id="{0DC4F6F1-90EC-413F-BBEB-A009BF2A5344}"/>
            </a:ext>
          </a:extLst>
        </xdr:cNvPr>
        <xdr:cNvCxnSpPr>
          <a:stCxn id="9" idx="1"/>
          <a:endCxn id="13" idx="1"/>
        </xdr:cNvCxnSpPr>
      </xdr:nvCxnSpPr>
      <xdr:spPr>
        <a:xfrm>
          <a:off x="10023472" y="2016125"/>
          <a:ext cx="9528" cy="8794750"/>
        </a:xfrm>
        <a:prstGeom prst="straightConnector1">
          <a:avLst/>
        </a:prstGeom>
        <a:ln w="38100">
          <a:solidFill>
            <a:srgbClr val="FFC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46</xdr:row>
      <xdr:rowOff>133350</xdr:rowOff>
    </xdr:from>
    <xdr:to>
      <xdr:col>11</xdr:col>
      <xdr:colOff>38100</xdr:colOff>
      <xdr:row>54</xdr:row>
      <xdr:rowOff>142875</xdr:rowOff>
    </xdr:to>
    <xdr:grpSp>
      <xdr:nvGrpSpPr>
        <xdr:cNvPr id="12" name="Groupe 11">
          <a:extLst>
            <a:ext uri="{FF2B5EF4-FFF2-40B4-BE49-F238E27FC236}">
              <a16:creationId xmlns:a16="http://schemas.microsoft.com/office/drawing/2014/main" id="{F0D71666-4B69-4BEA-BF82-8F368031BA93}"/>
            </a:ext>
          </a:extLst>
        </xdr:cNvPr>
        <xdr:cNvGrpSpPr/>
      </xdr:nvGrpSpPr>
      <xdr:grpSpPr>
        <a:xfrm>
          <a:off x="12613341" y="9053232"/>
          <a:ext cx="4831230" cy="1533525"/>
          <a:chOff x="4657724" y="1343025"/>
          <a:chExt cx="2933700" cy="1562100"/>
        </a:xfrm>
      </xdr:grpSpPr>
      <xdr:sp macro="" textlink="">
        <xdr:nvSpPr>
          <xdr:cNvPr id="13" name="Flèche droite 12">
            <a:extLst>
              <a:ext uri="{FF2B5EF4-FFF2-40B4-BE49-F238E27FC236}">
                <a16:creationId xmlns:a16="http://schemas.microsoft.com/office/drawing/2014/main" id="{EFA0B274-AF3A-4C9D-9547-AF4177645116}"/>
              </a:ext>
            </a:extLst>
          </xdr:cNvPr>
          <xdr:cNvSpPr/>
        </xdr:nvSpPr>
        <xdr:spPr>
          <a:xfrm rot="10800000">
            <a:off x="4657724" y="1343025"/>
            <a:ext cx="2933700" cy="1562100"/>
          </a:xfrm>
          <a:prstGeom prst="rightArrow">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 name="ZoneTexte 13">
            <a:extLst>
              <a:ext uri="{FF2B5EF4-FFF2-40B4-BE49-F238E27FC236}">
                <a16:creationId xmlns:a16="http://schemas.microsoft.com/office/drawing/2014/main" id="{CA72F24D-0AD5-4A08-9AA2-0EF569F70C8B}"/>
              </a:ext>
            </a:extLst>
          </xdr:cNvPr>
          <xdr:cNvSpPr txBox="1"/>
        </xdr:nvSpPr>
        <xdr:spPr>
          <a:xfrm>
            <a:off x="5695949" y="1781175"/>
            <a:ext cx="176212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latin typeface="Arial" panose="020B0604020202020204" pitchFamily="34" charset="0"/>
                <a:cs typeface="Arial" panose="020B0604020202020204" pitchFamily="34" charset="0"/>
              </a:rPr>
              <a:t>Etape</a:t>
            </a:r>
            <a:r>
              <a:rPr lang="fr-FR" sz="1000" b="1" baseline="0">
                <a:latin typeface="Arial" panose="020B0604020202020204" pitchFamily="34" charset="0"/>
                <a:cs typeface="Arial" panose="020B0604020202020204" pitchFamily="34" charset="0"/>
              </a:rPr>
              <a:t> 2 </a:t>
            </a:r>
          </a:p>
          <a:p>
            <a:pPr algn="ctr"/>
            <a:r>
              <a:rPr lang="fr-FR" sz="1000" b="1" baseline="0">
                <a:latin typeface="Arial" panose="020B0604020202020204" pitchFamily="34" charset="0"/>
                <a:cs typeface="Arial" panose="020B0604020202020204" pitchFamily="34" charset="0"/>
              </a:rPr>
              <a:t>Indiquer votre nom ou celui de votre entreprise</a:t>
            </a:r>
            <a:endParaRPr lang="fr-FR" sz="1000" b="1">
              <a:latin typeface="Arial" panose="020B0604020202020204" pitchFamily="34" charset="0"/>
              <a:cs typeface="Arial" panose="020B0604020202020204" pitchFamily="34" charset="0"/>
            </a:endParaRPr>
          </a:p>
        </xdr:txBody>
      </xdr:sp>
    </xdr:grpSp>
    <xdr:clientData/>
  </xdr:twoCellAnchor>
  <xdr:twoCellAnchor>
    <xdr:from>
      <xdr:col>7</xdr:col>
      <xdr:colOff>148317</xdr:colOff>
      <xdr:row>98</xdr:row>
      <xdr:rowOff>13607</xdr:rowOff>
    </xdr:from>
    <xdr:to>
      <xdr:col>11</xdr:col>
      <xdr:colOff>34017</xdr:colOff>
      <xdr:row>104</xdr:row>
      <xdr:rowOff>27213</xdr:rowOff>
    </xdr:to>
    <xdr:grpSp>
      <xdr:nvGrpSpPr>
        <xdr:cNvPr id="15" name="Groupe 14">
          <a:extLst>
            <a:ext uri="{FF2B5EF4-FFF2-40B4-BE49-F238E27FC236}">
              <a16:creationId xmlns:a16="http://schemas.microsoft.com/office/drawing/2014/main" id="{33B4744B-58B2-48D3-997D-F901B8C222DF}"/>
            </a:ext>
          </a:extLst>
        </xdr:cNvPr>
        <xdr:cNvGrpSpPr/>
      </xdr:nvGrpSpPr>
      <xdr:grpSpPr>
        <a:xfrm>
          <a:off x="12609258" y="18495842"/>
          <a:ext cx="4831230" cy="2105371"/>
          <a:chOff x="4657724" y="1343025"/>
          <a:chExt cx="2933700" cy="1562100"/>
        </a:xfrm>
      </xdr:grpSpPr>
      <xdr:sp macro="" textlink="">
        <xdr:nvSpPr>
          <xdr:cNvPr id="16" name="Flèche droite 15">
            <a:extLst>
              <a:ext uri="{FF2B5EF4-FFF2-40B4-BE49-F238E27FC236}">
                <a16:creationId xmlns:a16="http://schemas.microsoft.com/office/drawing/2014/main" id="{9AB7415E-1743-47A2-91C0-F1586E31A30F}"/>
              </a:ext>
            </a:extLst>
          </xdr:cNvPr>
          <xdr:cNvSpPr/>
        </xdr:nvSpPr>
        <xdr:spPr>
          <a:xfrm rot="10800000">
            <a:off x="4657724" y="1343025"/>
            <a:ext cx="2933700" cy="1562100"/>
          </a:xfrm>
          <a:prstGeom prst="rightArrow">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latin typeface="Arial" panose="020B0604020202020204" pitchFamily="34" charset="0"/>
              <a:cs typeface="Arial" panose="020B0604020202020204" pitchFamily="34" charset="0"/>
            </a:endParaRPr>
          </a:p>
        </xdr:txBody>
      </xdr:sp>
      <xdr:sp macro="" textlink="">
        <xdr:nvSpPr>
          <xdr:cNvPr id="17" name="ZoneTexte 16">
            <a:extLst>
              <a:ext uri="{FF2B5EF4-FFF2-40B4-BE49-F238E27FC236}">
                <a16:creationId xmlns:a16="http://schemas.microsoft.com/office/drawing/2014/main" id="{C25E2B6D-D798-4A49-98EC-8409CC4DC47B}"/>
              </a:ext>
            </a:extLst>
          </xdr:cNvPr>
          <xdr:cNvSpPr txBox="1"/>
        </xdr:nvSpPr>
        <xdr:spPr>
          <a:xfrm>
            <a:off x="5695949" y="1781175"/>
            <a:ext cx="176212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latin typeface="Arial" panose="020B0604020202020204" pitchFamily="34" charset="0"/>
                <a:cs typeface="Arial" panose="020B0604020202020204" pitchFamily="34" charset="0"/>
              </a:rPr>
              <a:t>Etape</a:t>
            </a:r>
            <a:r>
              <a:rPr lang="fr-FR" sz="1000" b="1" baseline="0">
                <a:latin typeface="Arial" panose="020B0604020202020204" pitchFamily="34" charset="0"/>
                <a:cs typeface="Arial" panose="020B0604020202020204" pitchFamily="34" charset="0"/>
              </a:rPr>
              <a:t> 3 </a:t>
            </a:r>
          </a:p>
          <a:p>
            <a:pPr algn="ctr"/>
            <a:r>
              <a:rPr lang="fr-FR" sz="1000" b="1" baseline="0">
                <a:latin typeface="Arial" panose="020B0604020202020204" pitchFamily="34" charset="0"/>
                <a:cs typeface="Arial" panose="020B0604020202020204" pitchFamily="34" charset="0"/>
              </a:rPr>
              <a:t>Indiquer les informations suivantes</a:t>
            </a:r>
            <a:endParaRPr lang="fr-FR" sz="1000" b="1">
              <a:latin typeface="Arial" panose="020B0604020202020204" pitchFamily="34" charset="0"/>
              <a:cs typeface="Arial" panose="020B0604020202020204" pitchFamily="34" charset="0"/>
            </a:endParaRPr>
          </a:p>
        </xdr:txBody>
      </xdr:sp>
    </xdr:grpSp>
    <xdr:clientData/>
  </xdr:twoCellAnchor>
  <xdr:twoCellAnchor>
    <xdr:from>
      <xdr:col>11</xdr:col>
      <xdr:colOff>34017</xdr:colOff>
      <xdr:row>52</xdr:row>
      <xdr:rowOff>171450</xdr:rowOff>
    </xdr:from>
    <xdr:to>
      <xdr:col>11</xdr:col>
      <xdr:colOff>34017</xdr:colOff>
      <xdr:row>100</xdr:row>
      <xdr:rowOff>666749</xdr:rowOff>
    </xdr:to>
    <xdr:cxnSp macro="">
      <xdr:nvCxnSpPr>
        <xdr:cNvPr id="18" name="Connecteur droit avec flèche 17">
          <a:extLst>
            <a:ext uri="{FF2B5EF4-FFF2-40B4-BE49-F238E27FC236}">
              <a16:creationId xmlns:a16="http://schemas.microsoft.com/office/drawing/2014/main" id="{E4FF8815-DCE5-49B0-8694-7FC07CDD6F16}"/>
            </a:ext>
          </a:extLst>
        </xdr:cNvPr>
        <xdr:cNvCxnSpPr>
          <a:endCxn id="16" idx="1"/>
        </xdr:cNvCxnSpPr>
      </xdr:nvCxnSpPr>
      <xdr:spPr>
        <a:xfrm>
          <a:off x="10028917" y="11226800"/>
          <a:ext cx="0" cy="9480549"/>
        </a:xfrm>
        <a:prstGeom prst="straightConnector1">
          <a:avLst/>
        </a:prstGeom>
        <a:ln w="38100">
          <a:solidFill>
            <a:srgbClr val="FFC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238125</xdr:colOff>
      <xdr:row>110</xdr:row>
      <xdr:rowOff>66674</xdr:rowOff>
    </xdr:from>
    <xdr:to>
      <xdr:col>12</xdr:col>
      <xdr:colOff>142875</xdr:colOff>
      <xdr:row>120</xdr:row>
      <xdr:rowOff>123825</xdr:rowOff>
    </xdr:to>
    <xdr:sp macro="" textlink="">
      <xdr:nvSpPr>
        <xdr:cNvPr id="19" name="Rectangle 18">
          <a:extLst>
            <a:ext uri="{FF2B5EF4-FFF2-40B4-BE49-F238E27FC236}">
              <a16:creationId xmlns:a16="http://schemas.microsoft.com/office/drawing/2014/main" id="{00EC91AC-ED22-482E-B962-BBB429DE385B}"/>
            </a:ext>
          </a:extLst>
        </xdr:cNvPr>
        <xdr:cNvSpPr/>
      </xdr:nvSpPr>
      <xdr:spPr>
        <a:xfrm>
          <a:off x="7947025" y="22939374"/>
          <a:ext cx="2952750" cy="2108201"/>
        </a:xfrm>
        <a:prstGeom prst="rect">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aseline="0"/>
            <a:t>Parcourez le document pour être sûr que vous avez le niveau d'investissement voulu. Au besoin, vous pourrez modifier les zones de texte pour qu'elles s'adaptent à votre réalité d'investissement.</a:t>
          </a:r>
        </a:p>
        <a:p>
          <a:pPr algn="l"/>
          <a:r>
            <a:rPr lang="fr-FR" sz="1100" baseline="0"/>
            <a:t>Par la suite, faites Fichier&gt;enregistrer sous&gt; sélectionner le dossier &gt; choisir le type de fichier pdf.</a:t>
          </a:r>
        </a:p>
        <a:p>
          <a:pPr algn="l"/>
          <a:r>
            <a:rPr lang="fr-FR" sz="1100" baseline="0"/>
            <a:t>ou Fichier&gt;imprimer&gt;choisir l'imprimante &gt;imprimer</a:t>
          </a:r>
        </a:p>
        <a:p>
          <a:pPr algn="l"/>
          <a:endParaRPr lang="fr-FR" sz="1100" baseline="0"/>
        </a:p>
        <a:p>
          <a:pPr algn="l"/>
          <a:r>
            <a:rPr lang="fr-FR" sz="1100" baseline="0"/>
            <a:t>Bonne chance et donnez vie à votre projet !!!!</a:t>
          </a:r>
        </a:p>
        <a:p>
          <a:pPr algn="l"/>
          <a:endParaRPr lang="fr-FR" sz="1100"/>
        </a:p>
      </xdr:txBody>
    </xdr:sp>
    <xdr:clientData/>
  </xdr:twoCellAnchor>
  <xdr:twoCellAnchor>
    <xdr:from>
      <xdr:col>5</xdr:col>
      <xdr:colOff>504824</xdr:colOff>
      <xdr:row>21</xdr:row>
      <xdr:rowOff>104775</xdr:rowOff>
    </xdr:from>
    <xdr:to>
      <xdr:col>6</xdr:col>
      <xdr:colOff>733424</xdr:colOff>
      <xdr:row>24</xdr:row>
      <xdr:rowOff>104775</xdr:rowOff>
    </xdr:to>
    <xdr:grpSp>
      <xdr:nvGrpSpPr>
        <xdr:cNvPr id="20" name="Groupe 19">
          <a:extLst>
            <a:ext uri="{FF2B5EF4-FFF2-40B4-BE49-F238E27FC236}">
              <a16:creationId xmlns:a16="http://schemas.microsoft.com/office/drawing/2014/main" id="{79D88950-A892-4AC4-95F2-E37BB86AB215}"/>
            </a:ext>
          </a:extLst>
        </xdr:cNvPr>
        <xdr:cNvGrpSpPr/>
      </xdr:nvGrpSpPr>
      <xdr:grpSpPr>
        <a:xfrm>
          <a:off x="10112000" y="3884893"/>
          <a:ext cx="1110130" cy="687294"/>
          <a:chOff x="3648075" y="9639300"/>
          <a:chExt cx="2085975" cy="1171575"/>
        </a:xfrm>
        <a:noFill/>
      </xdr:grpSpPr>
      <xdr:pic>
        <xdr:nvPicPr>
          <xdr:cNvPr id="21" name="Image 20" descr="armoiries de la C.I">
            <a:extLst>
              <a:ext uri="{FF2B5EF4-FFF2-40B4-BE49-F238E27FC236}">
                <a16:creationId xmlns:a16="http://schemas.microsoft.com/office/drawing/2014/main" id="{06D1FF15-A127-455F-BC32-F91749D9A8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27368" y="9866167"/>
            <a:ext cx="942975" cy="658091"/>
          </a:xfrm>
          <a:prstGeom prst="rect">
            <a:avLst/>
          </a:prstGeom>
          <a:grpFill/>
        </xdr:spPr>
      </xdr:pic>
      <xdr:sp macro="" textlink="">
        <xdr:nvSpPr>
          <xdr:cNvPr id="22" name="ZoneTexte 21">
            <a:extLst>
              <a:ext uri="{FF2B5EF4-FFF2-40B4-BE49-F238E27FC236}">
                <a16:creationId xmlns:a16="http://schemas.microsoft.com/office/drawing/2014/main" id="{222C8432-3A8F-4D43-B841-E6EDBBFC7EEE}"/>
              </a:ext>
            </a:extLst>
          </xdr:cNvPr>
          <xdr:cNvSpPr txBox="1"/>
        </xdr:nvSpPr>
        <xdr:spPr>
          <a:xfrm>
            <a:off x="3695700" y="9639300"/>
            <a:ext cx="2038350"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00">
                <a:solidFill>
                  <a:schemeClr val="bg1"/>
                </a:solidFill>
              </a:rPr>
              <a:t>REPUBLIQUE DE COTE D’IVOIRE</a:t>
            </a:r>
          </a:p>
        </xdr:txBody>
      </xdr:sp>
      <xdr:sp macro="" textlink="">
        <xdr:nvSpPr>
          <xdr:cNvPr id="23" name="ZoneTexte 22">
            <a:extLst>
              <a:ext uri="{FF2B5EF4-FFF2-40B4-BE49-F238E27FC236}">
                <a16:creationId xmlns:a16="http://schemas.microsoft.com/office/drawing/2014/main" id="{5C5C1039-E115-4B44-A035-7D80C620E22E}"/>
              </a:ext>
            </a:extLst>
          </xdr:cNvPr>
          <xdr:cNvSpPr txBox="1"/>
        </xdr:nvSpPr>
        <xdr:spPr>
          <a:xfrm>
            <a:off x="3648075" y="10553700"/>
            <a:ext cx="2038350"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00">
                <a:solidFill>
                  <a:schemeClr val="bg1"/>
                </a:solidFill>
              </a:rPr>
              <a:t>Union-Discipline-Travail</a:t>
            </a:r>
          </a:p>
        </xdr:txBody>
      </xdr:sp>
    </xdr:grpSp>
    <xdr:clientData/>
  </xdr:twoCellAnchor>
  <xdr:twoCellAnchor>
    <xdr:from>
      <xdr:col>1</xdr:col>
      <xdr:colOff>214313</xdr:colOff>
      <xdr:row>49</xdr:row>
      <xdr:rowOff>171451</xdr:rowOff>
    </xdr:from>
    <xdr:to>
      <xdr:col>4</xdr:col>
      <xdr:colOff>728663</xdr:colOff>
      <xdr:row>51</xdr:row>
      <xdr:rowOff>133351</xdr:rowOff>
    </xdr:to>
    <xdr:sp macro="" textlink="">
      <xdr:nvSpPr>
        <xdr:cNvPr id="24" name="Rectangle 23">
          <a:extLst>
            <a:ext uri="{FF2B5EF4-FFF2-40B4-BE49-F238E27FC236}">
              <a16:creationId xmlns:a16="http://schemas.microsoft.com/office/drawing/2014/main" id="{B99D67D0-A99B-486A-B985-A1634685836F}"/>
            </a:ext>
          </a:extLst>
        </xdr:cNvPr>
        <xdr:cNvSpPr/>
      </xdr:nvSpPr>
      <xdr:spPr>
        <a:xfrm>
          <a:off x="3407456" y="9941380"/>
          <a:ext cx="5294993" cy="32475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ysClr val="windowText" lastClr="000000"/>
              </a:solidFill>
              <a:latin typeface="Arial" panose="020B0604020202020204" pitchFamily="34" charset="0"/>
              <a:cs typeface="Arial" panose="020B0604020202020204" pitchFamily="34" charset="0"/>
            </a:rPr>
            <a:t>Raison</a:t>
          </a:r>
          <a:r>
            <a:rPr lang="fr-FR" sz="1100" baseline="0">
              <a:solidFill>
                <a:sysClr val="windowText" lastClr="000000"/>
              </a:solidFill>
              <a:latin typeface="Arial" panose="020B0604020202020204" pitchFamily="34" charset="0"/>
              <a:cs typeface="Arial" panose="020B0604020202020204" pitchFamily="34" charset="0"/>
            </a:rPr>
            <a:t> sociale de l'entreprise</a:t>
          </a:r>
          <a:endParaRPr lang="fr-FR"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666750</xdr:colOff>
      <xdr:row>55</xdr:row>
      <xdr:rowOff>57151</xdr:rowOff>
    </xdr:from>
    <xdr:to>
      <xdr:col>4</xdr:col>
      <xdr:colOff>390525</xdr:colOff>
      <xdr:row>57</xdr:row>
      <xdr:rowOff>119062</xdr:rowOff>
    </xdr:to>
    <xdr:sp macro="" textlink="">
      <xdr:nvSpPr>
        <xdr:cNvPr id="25" name="Rectangle 24">
          <a:extLst>
            <a:ext uri="{FF2B5EF4-FFF2-40B4-BE49-F238E27FC236}">
              <a16:creationId xmlns:a16="http://schemas.microsoft.com/office/drawing/2014/main" id="{E8A65111-A88A-43FD-AC23-ED877376FAE7}"/>
            </a:ext>
          </a:extLst>
        </xdr:cNvPr>
        <xdr:cNvSpPr/>
      </xdr:nvSpPr>
      <xdr:spPr>
        <a:xfrm>
          <a:off x="2260600" y="11664951"/>
          <a:ext cx="2543175" cy="4302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ysClr val="windowText" lastClr="000000"/>
              </a:solidFill>
              <a:latin typeface="Arial" panose="020B0604020202020204" pitchFamily="34" charset="0"/>
              <a:cs typeface="Arial" panose="020B0604020202020204" pitchFamily="34" charset="0"/>
            </a:rPr>
            <a:t>date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24848</xdr:colOff>
      <xdr:row>5</xdr:row>
      <xdr:rowOff>46263</xdr:rowOff>
    </xdr:from>
    <xdr:to>
      <xdr:col>12</xdr:col>
      <xdr:colOff>653777</xdr:colOff>
      <xdr:row>27</xdr:row>
      <xdr:rowOff>82705</xdr:rowOff>
    </xdr:to>
    <xdr:grpSp>
      <xdr:nvGrpSpPr>
        <xdr:cNvPr id="424" name="Groupe 423">
          <a:extLst>
            <a:ext uri="{FF2B5EF4-FFF2-40B4-BE49-F238E27FC236}">
              <a16:creationId xmlns:a16="http://schemas.microsoft.com/office/drawing/2014/main" id="{9633E906-6AC8-42DC-8EB6-9DB20B9BDC64}"/>
            </a:ext>
          </a:extLst>
        </xdr:cNvPr>
        <xdr:cNvGrpSpPr/>
      </xdr:nvGrpSpPr>
      <xdr:grpSpPr>
        <a:xfrm>
          <a:off x="859419" y="1044120"/>
          <a:ext cx="9809215" cy="4427014"/>
          <a:chOff x="5612847" y="263978"/>
          <a:chExt cx="9010929" cy="4027870"/>
        </a:xfrm>
      </xdr:grpSpPr>
      <xdr:sp macro="" textlink="">
        <xdr:nvSpPr>
          <xdr:cNvPr id="2" name="Rectangle 1">
            <a:extLst>
              <a:ext uri="{FF2B5EF4-FFF2-40B4-BE49-F238E27FC236}">
                <a16:creationId xmlns:a16="http://schemas.microsoft.com/office/drawing/2014/main" id="{873CAE0A-42F9-43A5-8EEA-256E373C7B83}"/>
              </a:ext>
            </a:extLst>
          </xdr:cNvPr>
          <xdr:cNvSpPr/>
        </xdr:nvSpPr>
        <xdr:spPr>
          <a:xfrm>
            <a:off x="13241884" y="2968372"/>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tx1"/>
                </a:solidFill>
              </a:rPr>
              <a:t>5</a:t>
            </a:r>
            <a:r>
              <a:rPr lang="fr-FR" sz="1100" baseline="0">
                <a:solidFill>
                  <a:schemeClr val="tx1"/>
                </a:solidFill>
              </a:rPr>
              <a:t>.Inv</a:t>
            </a:r>
            <a:endParaRPr lang="fr-FR" sz="1100">
              <a:solidFill>
                <a:schemeClr val="tx1"/>
              </a:solidFill>
            </a:endParaRPr>
          </a:p>
        </xdr:txBody>
      </xdr:sp>
      <xdr:cxnSp macro="">
        <xdr:nvCxnSpPr>
          <xdr:cNvPr id="4" name="Connecteur droit avec flèche 3">
            <a:extLst>
              <a:ext uri="{FF2B5EF4-FFF2-40B4-BE49-F238E27FC236}">
                <a16:creationId xmlns:a16="http://schemas.microsoft.com/office/drawing/2014/main" id="{95E898AF-EBE9-46B7-B1DC-587F5F483352}"/>
              </a:ext>
            </a:extLst>
          </xdr:cNvPr>
          <xdr:cNvCxnSpPr>
            <a:stCxn id="6" idx="1"/>
            <a:endCxn id="27" idx="3"/>
          </xdr:cNvCxnSpPr>
        </xdr:nvCxnSpPr>
        <xdr:spPr>
          <a:xfrm flipH="1">
            <a:off x="9153388" y="3273094"/>
            <a:ext cx="776792" cy="47128"/>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 name="Rectangle 4">
            <a:extLst>
              <a:ext uri="{FF2B5EF4-FFF2-40B4-BE49-F238E27FC236}">
                <a16:creationId xmlns:a16="http://schemas.microsoft.com/office/drawing/2014/main" id="{C9BA7D5F-A861-4F37-ABBB-0035AE28B900}"/>
              </a:ext>
            </a:extLst>
          </xdr:cNvPr>
          <xdr:cNvSpPr/>
        </xdr:nvSpPr>
        <xdr:spPr>
          <a:xfrm>
            <a:off x="11577431" y="2968368"/>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6.Var.Inv</a:t>
            </a:r>
            <a:endParaRPr lang="fr-FR" sz="1100">
              <a:solidFill>
                <a:schemeClr val="tx1"/>
              </a:solidFill>
            </a:endParaRPr>
          </a:p>
        </xdr:txBody>
      </xdr:sp>
      <xdr:sp macro="" textlink="">
        <xdr:nvSpPr>
          <xdr:cNvPr id="6" name="Rectangle 5">
            <a:extLst>
              <a:ext uri="{FF2B5EF4-FFF2-40B4-BE49-F238E27FC236}">
                <a16:creationId xmlns:a16="http://schemas.microsoft.com/office/drawing/2014/main" id="{6E40C80F-38B8-4C80-8DF6-0950AA9EED62}"/>
              </a:ext>
            </a:extLst>
          </xdr:cNvPr>
          <xdr:cNvSpPr/>
        </xdr:nvSpPr>
        <xdr:spPr>
          <a:xfrm>
            <a:off x="9930180" y="2971134"/>
            <a:ext cx="1231900" cy="603920"/>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7.Bud.Inv</a:t>
            </a:r>
            <a:endParaRPr lang="fr-FR" sz="1100">
              <a:solidFill>
                <a:schemeClr val="tx1"/>
              </a:solidFill>
            </a:endParaRPr>
          </a:p>
        </xdr:txBody>
      </xdr:sp>
      <xdr:sp macro="" textlink="">
        <xdr:nvSpPr>
          <xdr:cNvPr id="10" name="Rectangle 9">
            <a:extLst>
              <a:ext uri="{FF2B5EF4-FFF2-40B4-BE49-F238E27FC236}">
                <a16:creationId xmlns:a16="http://schemas.microsoft.com/office/drawing/2014/main" id="{C468AD27-DB4B-40A0-9B11-49CC08B57B92}"/>
              </a:ext>
            </a:extLst>
          </xdr:cNvPr>
          <xdr:cNvSpPr/>
        </xdr:nvSpPr>
        <xdr:spPr>
          <a:xfrm>
            <a:off x="5629688" y="2596042"/>
            <a:ext cx="1231900" cy="607785"/>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1.Var.Fin</a:t>
            </a:r>
            <a:endParaRPr lang="fr-FR" sz="1100">
              <a:solidFill>
                <a:schemeClr val="tx1"/>
              </a:solidFill>
            </a:endParaRPr>
          </a:p>
        </xdr:txBody>
      </xdr:sp>
      <xdr:sp macro="" textlink="">
        <xdr:nvSpPr>
          <xdr:cNvPr id="12" name="Rectangle 11">
            <a:extLst>
              <a:ext uri="{FF2B5EF4-FFF2-40B4-BE49-F238E27FC236}">
                <a16:creationId xmlns:a16="http://schemas.microsoft.com/office/drawing/2014/main" id="{7B83A572-FE69-4506-9F9A-C9C3413C6B11}"/>
              </a:ext>
            </a:extLst>
          </xdr:cNvPr>
          <xdr:cNvSpPr/>
        </xdr:nvSpPr>
        <xdr:spPr>
          <a:xfrm>
            <a:off x="5651777" y="304010"/>
            <a:ext cx="1231900" cy="60506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2.Cal.Amo.CT</a:t>
            </a:r>
            <a:endParaRPr lang="fr-FR" sz="1100">
              <a:solidFill>
                <a:schemeClr val="tx1"/>
              </a:solidFill>
            </a:endParaRPr>
          </a:p>
        </xdr:txBody>
      </xdr:sp>
      <xdr:sp macro="" textlink="">
        <xdr:nvSpPr>
          <xdr:cNvPr id="13" name="Rectangle 12">
            <a:extLst>
              <a:ext uri="{FF2B5EF4-FFF2-40B4-BE49-F238E27FC236}">
                <a16:creationId xmlns:a16="http://schemas.microsoft.com/office/drawing/2014/main" id="{C799490C-6A86-475B-ACB9-4BA2734C6C0C}"/>
              </a:ext>
            </a:extLst>
          </xdr:cNvPr>
          <xdr:cNvSpPr/>
        </xdr:nvSpPr>
        <xdr:spPr>
          <a:xfrm>
            <a:off x="5655366" y="1017852"/>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3.Cal.Amo.LT</a:t>
            </a:r>
            <a:endParaRPr lang="fr-FR" sz="1100">
              <a:solidFill>
                <a:schemeClr val="tx1"/>
              </a:solidFill>
            </a:endParaRPr>
          </a:p>
        </xdr:txBody>
      </xdr:sp>
      <xdr:sp macro="" textlink="">
        <xdr:nvSpPr>
          <xdr:cNvPr id="14" name="Rectangle 13">
            <a:extLst>
              <a:ext uri="{FF2B5EF4-FFF2-40B4-BE49-F238E27FC236}">
                <a16:creationId xmlns:a16="http://schemas.microsoft.com/office/drawing/2014/main" id="{4A734E48-5609-4F42-9565-0D65528B2B74}"/>
              </a:ext>
            </a:extLst>
          </xdr:cNvPr>
          <xdr:cNvSpPr/>
        </xdr:nvSpPr>
        <xdr:spPr>
          <a:xfrm>
            <a:off x="5630794" y="1727828"/>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4.Cal.Amo.AI</a:t>
            </a:r>
            <a:endParaRPr lang="fr-FR" sz="1100">
              <a:solidFill>
                <a:schemeClr val="tx1"/>
              </a:solidFill>
            </a:endParaRPr>
          </a:p>
        </xdr:txBody>
      </xdr:sp>
      <xdr:sp macro="" textlink="">
        <xdr:nvSpPr>
          <xdr:cNvPr id="15" name="Rectangle 14">
            <a:extLst>
              <a:ext uri="{FF2B5EF4-FFF2-40B4-BE49-F238E27FC236}">
                <a16:creationId xmlns:a16="http://schemas.microsoft.com/office/drawing/2014/main" id="{E9B71CE7-B836-4D24-BC3D-69E1D0CF3C8B}"/>
              </a:ext>
            </a:extLst>
          </xdr:cNvPr>
          <xdr:cNvSpPr/>
        </xdr:nvSpPr>
        <xdr:spPr>
          <a:xfrm>
            <a:off x="13391876" y="282200"/>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8.Prod</a:t>
            </a:r>
            <a:endParaRPr lang="fr-FR" sz="1100">
              <a:solidFill>
                <a:schemeClr val="tx1"/>
              </a:solidFill>
            </a:endParaRPr>
          </a:p>
        </xdr:txBody>
      </xdr:sp>
      <xdr:sp macro="" textlink="">
        <xdr:nvSpPr>
          <xdr:cNvPr id="16" name="Rectangle 15">
            <a:extLst>
              <a:ext uri="{FF2B5EF4-FFF2-40B4-BE49-F238E27FC236}">
                <a16:creationId xmlns:a16="http://schemas.microsoft.com/office/drawing/2014/main" id="{9638BAB4-AAE6-42A4-A618-8ACC6A28107C}"/>
              </a:ext>
            </a:extLst>
          </xdr:cNvPr>
          <xdr:cNvSpPr/>
        </xdr:nvSpPr>
        <xdr:spPr>
          <a:xfrm>
            <a:off x="9951003" y="263978"/>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10.Vente</a:t>
            </a:r>
            <a:endParaRPr lang="fr-FR" sz="1100">
              <a:solidFill>
                <a:schemeClr val="tx1"/>
              </a:solidFill>
            </a:endParaRPr>
          </a:p>
        </xdr:txBody>
      </xdr:sp>
      <xdr:sp macro="" textlink="">
        <xdr:nvSpPr>
          <xdr:cNvPr id="17" name="Rectangle 16">
            <a:extLst>
              <a:ext uri="{FF2B5EF4-FFF2-40B4-BE49-F238E27FC236}">
                <a16:creationId xmlns:a16="http://schemas.microsoft.com/office/drawing/2014/main" id="{3711DE1E-EAD1-433E-8850-5A2850104E5B}"/>
              </a:ext>
            </a:extLst>
          </xdr:cNvPr>
          <xdr:cNvSpPr/>
        </xdr:nvSpPr>
        <xdr:spPr>
          <a:xfrm>
            <a:off x="11742529" y="270328"/>
            <a:ext cx="1231900" cy="603919"/>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9.Var.Vente</a:t>
            </a:r>
            <a:endParaRPr lang="fr-FR" sz="1100">
              <a:solidFill>
                <a:schemeClr val="tx1"/>
              </a:solidFill>
            </a:endParaRPr>
          </a:p>
        </xdr:txBody>
      </xdr:sp>
      <xdr:sp macro="" textlink="">
        <xdr:nvSpPr>
          <xdr:cNvPr id="18" name="Rectangle 17">
            <a:extLst>
              <a:ext uri="{FF2B5EF4-FFF2-40B4-BE49-F238E27FC236}">
                <a16:creationId xmlns:a16="http://schemas.microsoft.com/office/drawing/2014/main" id="{DF3E0B4E-9723-4A9E-B8F1-B5A7C4EAF04D}"/>
              </a:ext>
            </a:extLst>
          </xdr:cNvPr>
          <xdr:cNvSpPr/>
        </xdr:nvSpPr>
        <xdr:spPr>
          <a:xfrm>
            <a:off x="13381936" y="1174986"/>
            <a:ext cx="1231900" cy="607784"/>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11.Charges</a:t>
            </a:r>
            <a:endParaRPr lang="fr-FR" sz="1100">
              <a:solidFill>
                <a:schemeClr val="tx1"/>
              </a:solidFill>
            </a:endParaRPr>
          </a:p>
        </xdr:txBody>
      </xdr:sp>
      <xdr:sp macro="" textlink="">
        <xdr:nvSpPr>
          <xdr:cNvPr id="19" name="Rectangle 18">
            <a:extLst>
              <a:ext uri="{FF2B5EF4-FFF2-40B4-BE49-F238E27FC236}">
                <a16:creationId xmlns:a16="http://schemas.microsoft.com/office/drawing/2014/main" id="{08EACE75-408F-42BC-84C0-DD6A8DB72A27}"/>
              </a:ext>
            </a:extLst>
          </xdr:cNvPr>
          <xdr:cNvSpPr/>
        </xdr:nvSpPr>
        <xdr:spPr>
          <a:xfrm>
            <a:off x="9955974" y="1163114"/>
            <a:ext cx="1231900" cy="60778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12.Char.Dir</a:t>
            </a:r>
            <a:endParaRPr lang="fr-FR" sz="1100">
              <a:solidFill>
                <a:schemeClr val="tx1"/>
              </a:solidFill>
            </a:endParaRPr>
          </a:p>
        </xdr:txBody>
      </xdr:sp>
      <xdr:sp macro="" textlink="">
        <xdr:nvSpPr>
          <xdr:cNvPr id="20" name="Rectangle 19">
            <a:extLst>
              <a:ext uri="{FF2B5EF4-FFF2-40B4-BE49-F238E27FC236}">
                <a16:creationId xmlns:a16="http://schemas.microsoft.com/office/drawing/2014/main" id="{3E010346-1522-4835-AD4F-529E6B6137ED}"/>
              </a:ext>
            </a:extLst>
          </xdr:cNvPr>
          <xdr:cNvSpPr/>
        </xdr:nvSpPr>
        <xdr:spPr>
          <a:xfrm>
            <a:off x="11646729" y="1175813"/>
            <a:ext cx="1231900" cy="609718"/>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13.Var.Char.Ind</a:t>
            </a:r>
            <a:endParaRPr lang="fr-FR" sz="1100">
              <a:solidFill>
                <a:schemeClr val="tx1"/>
              </a:solidFill>
            </a:endParaRPr>
          </a:p>
        </xdr:txBody>
      </xdr:sp>
      <xdr:sp macro="" textlink="">
        <xdr:nvSpPr>
          <xdr:cNvPr id="21" name="Rectangle 20">
            <a:extLst>
              <a:ext uri="{FF2B5EF4-FFF2-40B4-BE49-F238E27FC236}">
                <a16:creationId xmlns:a16="http://schemas.microsoft.com/office/drawing/2014/main" id="{7EB47F0F-85C7-43BE-892C-A6749FFC4B3F}"/>
              </a:ext>
            </a:extLst>
          </xdr:cNvPr>
          <xdr:cNvSpPr/>
        </xdr:nvSpPr>
        <xdr:spPr>
          <a:xfrm>
            <a:off x="9930261" y="2081028"/>
            <a:ext cx="1231900" cy="606997"/>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14.Char.Ind</a:t>
            </a:r>
            <a:endParaRPr lang="fr-FR" sz="1100">
              <a:solidFill>
                <a:schemeClr val="tx1"/>
              </a:solidFill>
            </a:endParaRPr>
          </a:p>
        </xdr:txBody>
      </xdr:sp>
      <xdr:sp macro="" textlink="">
        <xdr:nvSpPr>
          <xdr:cNvPr id="23" name="Rectangle 22">
            <a:extLst>
              <a:ext uri="{FF2B5EF4-FFF2-40B4-BE49-F238E27FC236}">
                <a16:creationId xmlns:a16="http://schemas.microsoft.com/office/drawing/2014/main" id="{A95A61FD-6358-4BC5-A75A-3921FF1BBA3A}"/>
              </a:ext>
            </a:extLst>
          </xdr:cNvPr>
          <xdr:cNvSpPr/>
        </xdr:nvSpPr>
        <xdr:spPr>
          <a:xfrm>
            <a:off x="7920108" y="323335"/>
            <a:ext cx="1231900" cy="606997"/>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15.Tre.Men</a:t>
            </a:r>
            <a:endParaRPr lang="fr-FR" sz="1100">
              <a:solidFill>
                <a:schemeClr val="tx1"/>
              </a:solidFill>
            </a:endParaRPr>
          </a:p>
        </xdr:txBody>
      </xdr:sp>
      <xdr:sp macro="" textlink="">
        <xdr:nvSpPr>
          <xdr:cNvPr id="24" name="Rectangle 23">
            <a:extLst>
              <a:ext uri="{FF2B5EF4-FFF2-40B4-BE49-F238E27FC236}">
                <a16:creationId xmlns:a16="http://schemas.microsoft.com/office/drawing/2014/main" id="{9E1FA3E7-41C8-47D3-8ED1-7450D3E796CF}"/>
              </a:ext>
            </a:extLst>
          </xdr:cNvPr>
          <xdr:cNvSpPr/>
        </xdr:nvSpPr>
        <xdr:spPr>
          <a:xfrm>
            <a:off x="7919832" y="997972"/>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16.CR</a:t>
            </a:r>
            <a:endParaRPr lang="fr-FR" sz="1100">
              <a:solidFill>
                <a:schemeClr val="tx1"/>
              </a:solidFill>
            </a:endParaRPr>
          </a:p>
        </xdr:txBody>
      </xdr:sp>
      <xdr:sp macro="" textlink="">
        <xdr:nvSpPr>
          <xdr:cNvPr id="25" name="Rectangle 24">
            <a:extLst>
              <a:ext uri="{FF2B5EF4-FFF2-40B4-BE49-F238E27FC236}">
                <a16:creationId xmlns:a16="http://schemas.microsoft.com/office/drawing/2014/main" id="{F66EE2C5-3342-4760-83E3-11E5E56CB900}"/>
              </a:ext>
            </a:extLst>
          </xdr:cNvPr>
          <xdr:cNvSpPr/>
        </xdr:nvSpPr>
        <xdr:spPr>
          <a:xfrm>
            <a:off x="7910721" y="1673991"/>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17.Tre.An</a:t>
            </a:r>
            <a:endParaRPr lang="fr-FR" sz="1100">
              <a:solidFill>
                <a:schemeClr val="tx1"/>
              </a:solidFill>
            </a:endParaRPr>
          </a:p>
        </xdr:txBody>
      </xdr:sp>
      <xdr:sp macro="" textlink="">
        <xdr:nvSpPr>
          <xdr:cNvPr id="26" name="Rectangle 25">
            <a:extLst>
              <a:ext uri="{FF2B5EF4-FFF2-40B4-BE49-F238E27FC236}">
                <a16:creationId xmlns:a16="http://schemas.microsoft.com/office/drawing/2014/main" id="{3C8F28C4-2582-4D57-86DB-25D92C349F71}"/>
              </a:ext>
            </a:extLst>
          </xdr:cNvPr>
          <xdr:cNvSpPr/>
        </xdr:nvSpPr>
        <xdr:spPr>
          <a:xfrm>
            <a:off x="7924248" y="3685994"/>
            <a:ext cx="1231900" cy="605854"/>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18.Van</a:t>
            </a:r>
            <a:endParaRPr lang="fr-FR" sz="1100">
              <a:solidFill>
                <a:schemeClr val="tx1"/>
              </a:solidFill>
            </a:endParaRPr>
          </a:p>
        </xdr:txBody>
      </xdr:sp>
      <xdr:sp macro="" textlink="">
        <xdr:nvSpPr>
          <xdr:cNvPr id="27" name="Rectangle 26">
            <a:extLst>
              <a:ext uri="{FF2B5EF4-FFF2-40B4-BE49-F238E27FC236}">
                <a16:creationId xmlns:a16="http://schemas.microsoft.com/office/drawing/2014/main" id="{9C164382-2BBF-4D2E-BECA-55BFFC2CD672}"/>
              </a:ext>
            </a:extLst>
          </xdr:cNvPr>
          <xdr:cNvSpPr/>
        </xdr:nvSpPr>
        <xdr:spPr>
          <a:xfrm>
            <a:off x="7921488" y="3016329"/>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19.Bilan</a:t>
            </a:r>
            <a:endParaRPr lang="fr-FR" sz="1100">
              <a:solidFill>
                <a:schemeClr val="tx1"/>
              </a:solidFill>
            </a:endParaRPr>
          </a:p>
        </xdr:txBody>
      </xdr:sp>
      <xdr:sp macro="" textlink="">
        <xdr:nvSpPr>
          <xdr:cNvPr id="28" name="Rectangle 27">
            <a:extLst>
              <a:ext uri="{FF2B5EF4-FFF2-40B4-BE49-F238E27FC236}">
                <a16:creationId xmlns:a16="http://schemas.microsoft.com/office/drawing/2014/main" id="{633D9852-9E7D-47AE-B250-A07BB1921A4E}"/>
              </a:ext>
            </a:extLst>
          </xdr:cNvPr>
          <xdr:cNvSpPr/>
        </xdr:nvSpPr>
        <xdr:spPr>
          <a:xfrm>
            <a:off x="7916795" y="2346932"/>
            <a:ext cx="1231900" cy="60506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20.CR IFRS</a:t>
            </a:r>
            <a:endParaRPr lang="fr-FR" sz="1100">
              <a:solidFill>
                <a:schemeClr val="tx1"/>
              </a:solidFill>
            </a:endParaRPr>
          </a:p>
        </xdr:txBody>
      </xdr:sp>
      <xdr:sp macro="" textlink="">
        <xdr:nvSpPr>
          <xdr:cNvPr id="29" name="Rectangle 28">
            <a:extLst>
              <a:ext uri="{FF2B5EF4-FFF2-40B4-BE49-F238E27FC236}">
                <a16:creationId xmlns:a16="http://schemas.microsoft.com/office/drawing/2014/main" id="{0282C017-F651-496D-98DF-58DC4D7F05EB}"/>
              </a:ext>
            </a:extLst>
          </xdr:cNvPr>
          <xdr:cNvSpPr/>
        </xdr:nvSpPr>
        <xdr:spPr>
          <a:xfrm>
            <a:off x="5612848" y="3413419"/>
            <a:ext cx="1231900" cy="606997"/>
          </a:xfrm>
          <a:prstGeom prst="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21.BFR</a:t>
            </a:r>
            <a:endParaRPr lang="fr-FR" sz="1100">
              <a:solidFill>
                <a:schemeClr val="tx1"/>
              </a:solidFill>
            </a:endParaRPr>
          </a:p>
        </xdr:txBody>
      </xdr:sp>
      <xdr:cxnSp macro="">
        <xdr:nvCxnSpPr>
          <xdr:cNvPr id="34" name="Connecteur droit avec flèche 33">
            <a:extLst>
              <a:ext uri="{FF2B5EF4-FFF2-40B4-BE49-F238E27FC236}">
                <a16:creationId xmlns:a16="http://schemas.microsoft.com/office/drawing/2014/main" id="{CA9DA7E3-D4C9-474D-AF3D-D493B2B6F212}"/>
              </a:ext>
            </a:extLst>
          </xdr:cNvPr>
          <xdr:cNvCxnSpPr>
            <a:stCxn id="12" idx="3"/>
            <a:endCxn id="23" idx="1"/>
          </xdr:cNvCxnSpPr>
        </xdr:nvCxnSpPr>
        <xdr:spPr>
          <a:xfrm>
            <a:off x="6883677" y="606542"/>
            <a:ext cx="1036431" cy="2029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Connecteur droit avec flèche 39">
            <a:extLst>
              <a:ext uri="{FF2B5EF4-FFF2-40B4-BE49-F238E27FC236}">
                <a16:creationId xmlns:a16="http://schemas.microsoft.com/office/drawing/2014/main" id="{F43B1477-B0DA-452D-95EC-9A4BD219AA9E}"/>
              </a:ext>
            </a:extLst>
          </xdr:cNvPr>
          <xdr:cNvCxnSpPr>
            <a:stCxn id="12" idx="3"/>
            <a:endCxn id="24" idx="1"/>
          </xdr:cNvCxnSpPr>
        </xdr:nvCxnSpPr>
        <xdr:spPr>
          <a:xfrm>
            <a:off x="6883677" y="606542"/>
            <a:ext cx="1036155" cy="69492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3" name="Connecteur droit avec flèche 42">
            <a:extLst>
              <a:ext uri="{FF2B5EF4-FFF2-40B4-BE49-F238E27FC236}">
                <a16:creationId xmlns:a16="http://schemas.microsoft.com/office/drawing/2014/main" id="{CE1E9A93-400A-4941-A420-669EF7018ADC}"/>
              </a:ext>
            </a:extLst>
          </xdr:cNvPr>
          <xdr:cNvCxnSpPr>
            <a:stCxn id="12" idx="3"/>
            <a:endCxn id="25" idx="1"/>
          </xdr:cNvCxnSpPr>
        </xdr:nvCxnSpPr>
        <xdr:spPr>
          <a:xfrm>
            <a:off x="6883677" y="606542"/>
            <a:ext cx="1027044" cy="137173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6" name="Connecteur droit avec flèche 45">
            <a:extLst>
              <a:ext uri="{FF2B5EF4-FFF2-40B4-BE49-F238E27FC236}">
                <a16:creationId xmlns:a16="http://schemas.microsoft.com/office/drawing/2014/main" id="{FB536263-1EC8-44EC-A533-CB63CCED5FA2}"/>
              </a:ext>
            </a:extLst>
          </xdr:cNvPr>
          <xdr:cNvCxnSpPr>
            <a:stCxn id="12" idx="3"/>
            <a:endCxn id="28" idx="1"/>
          </xdr:cNvCxnSpPr>
        </xdr:nvCxnSpPr>
        <xdr:spPr>
          <a:xfrm>
            <a:off x="6883677" y="606542"/>
            <a:ext cx="1033118" cy="204292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9" name="Connecteur droit avec flèche 48">
            <a:extLst>
              <a:ext uri="{FF2B5EF4-FFF2-40B4-BE49-F238E27FC236}">
                <a16:creationId xmlns:a16="http://schemas.microsoft.com/office/drawing/2014/main" id="{EF1D36D7-E6DA-4D2E-8149-7E4C67C6C11C}"/>
              </a:ext>
            </a:extLst>
          </xdr:cNvPr>
          <xdr:cNvCxnSpPr>
            <a:stCxn id="12" idx="3"/>
            <a:endCxn id="27" idx="1"/>
          </xdr:cNvCxnSpPr>
        </xdr:nvCxnSpPr>
        <xdr:spPr>
          <a:xfrm>
            <a:off x="6883677" y="606542"/>
            <a:ext cx="1037811" cy="271328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avec flèche 61">
            <a:extLst>
              <a:ext uri="{FF2B5EF4-FFF2-40B4-BE49-F238E27FC236}">
                <a16:creationId xmlns:a16="http://schemas.microsoft.com/office/drawing/2014/main" id="{629F14A7-CFF4-43B7-965A-87865B0F6EC2}"/>
              </a:ext>
            </a:extLst>
          </xdr:cNvPr>
          <xdr:cNvCxnSpPr>
            <a:stCxn id="13" idx="3"/>
            <a:endCxn id="23" idx="1"/>
          </xdr:cNvCxnSpPr>
        </xdr:nvCxnSpPr>
        <xdr:spPr>
          <a:xfrm flipV="1">
            <a:off x="6887266" y="626834"/>
            <a:ext cx="1032842" cy="693550"/>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avec flèche 64">
            <a:extLst>
              <a:ext uri="{FF2B5EF4-FFF2-40B4-BE49-F238E27FC236}">
                <a16:creationId xmlns:a16="http://schemas.microsoft.com/office/drawing/2014/main" id="{6651D1EF-105C-4E96-A149-EF739E2675B7}"/>
              </a:ext>
            </a:extLst>
          </xdr:cNvPr>
          <xdr:cNvCxnSpPr>
            <a:stCxn id="13" idx="3"/>
            <a:endCxn id="24" idx="1"/>
          </xdr:cNvCxnSpPr>
        </xdr:nvCxnSpPr>
        <xdr:spPr>
          <a:xfrm flipV="1">
            <a:off x="6887266" y="1301470"/>
            <a:ext cx="1032566" cy="1891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8" name="Connecteur droit avec flèche 67">
            <a:extLst>
              <a:ext uri="{FF2B5EF4-FFF2-40B4-BE49-F238E27FC236}">
                <a16:creationId xmlns:a16="http://schemas.microsoft.com/office/drawing/2014/main" id="{B528AD08-3F3A-4ED2-ADDA-5D86039BD762}"/>
              </a:ext>
            </a:extLst>
          </xdr:cNvPr>
          <xdr:cNvCxnSpPr>
            <a:stCxn id="13" idx="3"/>
            <a:endCxn id="25" idx="1"/>
          </xdr:cNvCxnSpPr>
        </xdr:nvCxnSpPr>
        <xdr:spPr>
          <a:xfrm>
            <a:off x="6887266" y="1320384"/>
            <a:ext cx="1023455" cy="65789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Connecteur droit avec flèche 70">
            <a:extLst>
              <a:ext uri="{FF2B5EF4-FFF2-40B4-BE49-F238E27FC236}">
                <a16:creationId xmlns:a16="http://schemas.microsoft.com/office/drawing/2014/main" id="{4BB23AC7-0681-48E7-83FF-92C9830BC9F4}"/>
              </a:ext>
            </a:extLst>
          </xdr:cNvPr>
          <xdr:cNvCxnSpPr>
            <a:stCxn id="13" idx="3"/>
            <a:endCxn id="28" idx="1"/>
          </xdr:cNvCxnSpPr>
        </xdr:nvCxnSpPr>
        <xdr:spPr>
          <a:xfrm>
            <a:off x="6887266" y="1320384"/>
            <a:ext cx="1029529" cy="132908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4" name="Connecteur droit avec flèche 73">
            <a:extLst>
              <a:ext uri="{FF2B5EF4-FFF2-40B4-BE49-F238E27FC236}">
                <a16:creationId xmlns:a16="http://schemas.microsoft.com/office/drawing/2014/main" id="{663FE808-D62F-463B-876E-B9EEBB7255B5}"/>
              </a:ext>
            </a:extLst>
          </xdr:cNvPr>
          <xdr:cNvCxnSpPr>
            <a:stCxn id="13" idx="3"/>
            <a:endCxn id="27" idx="1"/>
          </xdr:cNvCxnSpPr>
        </xdr:nvCxnSpPr>
        <xdr:spPr>
          <a:xfrm>
            <a:off x="6887266" y="1320384"/>
            <a:ext cx="1034222" cy="199944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3" name="Connecteur droit avec flèche 82">
            <a:extLst>
              <a:ext uri="{FF2B5EF4-FFF2-40B4-BE49-F238E27FC236}">
                <a16:creationId xmlns:a16="http://schemas.microsoft.com/office/drawing/2014/main" id="{16B8EB02-7F29-4D1C-A7D9-AD4AACAC6273}"/>
              </a:ext>
            </a:extLst>
          </xdr:cNvPr>
          <xdr:cNvCxnSpPr>
            <a:stCxn id="14" idx="3"/>
            <a:endCxn id="27" idx="1"/>
          </xdr:cNvCxnSpPr>
        </xdr:nvCxnSpPr>
        <xdr:spPr>
          <a:xfrm>
            <a:off x="6862694" y="2030361"/>
            <a:ext cx="1058794" cy="12894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6" name="Connecteur droit avec flèche 85">
            <a:extLst>
              <a:ext uri="{FF2B5EF4-FFF2-40B4-BE49-F238E27FC236}">
                <a16:creationId xmlns:a16="http://schemas.microsoft.com/office/drawing/2014/main" id="{AA2A8BD6-180A-4814-BFF2-CDC13C2D06B0}"/>
              </a:ext>
            </a:extLst>
          </xdr:cNvPr>
          <xdr:cNvCxnSpPr>
            <a:stCxn id="14" idx="3"/>
            <a:endCxn id="28" idx="1"/>
          </xdr:cNvCxnSpPr>
        </xdr:nvCxnSpPr>
        <xdr:spPr>
          <a:xfrm>
            <a:off x="6862694" y="2030361"/>
            <a:ext cx="1054101" cy="6191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avec flèche 88">
            <a:extLst>
              <a:ext uri="{FF2B5EF4-FFF2-40B4-BE49-F238E27FC236}">
                <a16:creationId xmlns:a16="http://schemas.microsoft.com/office/drawing/2014/main" id="{DB2199CA-B27D-43B8-B9D2-11E02591AEC2}"/>
              </a:ext>
            </a:extLst>
          </xdr:cNvPr>
          <xdr:cNvCxnSpPr>
            <a:stCxn id="14" idx="3"/>
            <a:endCxn id="25" idx="1"/>
          </xdr:cNvCxnSpPr>
        </xdr:nvCxnSpPr>
        <xdr:spPr>
          <a:xfrm flipV="1">
            <a:off x="6862694" y="1978279"/>
            <a:ext cx="1048027" cy="520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avec flèche 91">
            <a:extLst>
              <a:ext uri="{FF2B5EF4-FFF2-40B4-BE49-F238E27FC236}">
                <a16:creationId xmlns:a16="http://schemas.microsoft.com/office/drawing/2014/main" id="{D3D589B0-42ED-4DC3-BE4F-868F187A9FDB}"/>
              </a:ext>
            </a:extLst>
          </xdr:cNvPr>
          <xdr:cNvCxnSpPr>
            <a:stCxn id="14" idx="3"/>
            <a:endCxn id="24" idx="1"/>
          </xdr:cNvCxnSpPr>
        </xdr:nvCxnSpPr>
        <xdr:spPr>
          <a:xfrm flipV="1">
            <a:off x="6862694" y="1301470"/>
            <a:ext cx="1057138" cy="72889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avec flèche 94">
            <a:extLst>
              <a:ext uri="{FF2B5EF4-FFF2-40B4-BE49-F238E27FC236}">
                <a16:creationId xmlns:a16="http://schemas.microsoft.com/office/drawing/2014/main" id="{CA0348C5-5D04-48BD-B8F6-2F3DC755F79F}"/>
              </a:ext>
            </a:extLst>
          </xdr:cNvPr>
          <xdr:cNvCxnSpPr>
            <a:stCxn id="14" idx="3"/>
            <a:endCxn id="23" idx="1"/>
          </xdr:cNvCxnSpPr>
        </xdr:nvCxnSpPr>
        <xdr:spPr>
          <a:xfrm flipV="1">
            <a:off x="6862694" y="626834"/>
            <a:ext cx="1057414" cy="140352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4" name="Connecteur droit avec flèche 163">
            <a:extLst>
              <a:ext uri="{FF2B5EF4-FFF2-40B4-BE49-F238E27FC236}">
                <a16:creationId xmlns:a16="http://schemas.microsoft.com/office/drawing/2014/main" id="{351D6AD9-99B7-443B-935E-7C9301F35A2F}"/>
              </a:ext>
            </a:extLst>
          </xdr:cNvPr>
          <xdr:cNvCxnSpPr>
            <a:stCxn id="19" idx="1"/>
            <a:endCxn id="23" idx="3"/>
          </xdr:cNvCxnSpPr>
        </xdr:nvCxnSpPr>
        <xdr:spPr>
          <a:xfrm flipH="1" flipV="1">
            <a:off x="9152008" y="626834"/>
            <a:ext cx="803966" cy="839779"/>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5" name="Connecteur droit avec flèche 164">
            <a:extLst>
              <a:ext uri="{FF2B5EF4-FFF2-40B4-BE49-F238E27FC236}">
                <a16:creationId xmlns:a16="http://schemas.microsoft.com/office/drawing/2014/main" id="{F6E0A5D3-2B16-4E9A-9A48-148001600E16}"/>
              </a:ext>
            </a:extLst>
          </xdr:cNvPr>
          <xdr:cNvCxnSpPr>
            <a:stCxn id="18" idx="1"/>
            <a:endCxn id="20" idx="3"/>
          </xdr:cNvCxnSpPr>
        </xdr:nvCxnSpPr>
        <xdr:spPr>
          <a:xfrm flipH="1">
            <a:off x="12878629" y="1478485"/>
            <a:ext cx="503307" cy="1794"/>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2" name="Connecteur droit avec flèche 171">
            <a:extLst>
              <a:ext uri="{FF2B5EF4-FFF2-40B4-BE49-F238E27FC236}">
                <a16:creationId xmlns:a16="http://schemas.microsoft.com/office/drawing/2014/main" id="{1014152C-68AA-40EC-9F74-34EBF87EFAE7}"/>
              </a:ext>
            </a:extLst>
          </xdr:cNvPr>
          <xdr:cNvCxnSpPr>
            <a:stCxn id="19" idx="1"/>
            <a:endCxn id="24" idx="3"/>
          </xdr:cNvCxnSpPr>
        </xdr:nvCxnSpPr>
        <xdr:spPr>
          <a:xfrm flipH="1" flipV="1">
            <a:off x="9151732" y="1301470"/>
            <a:ext cx="804242" cy="1651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5" name="Connecteur droit avec flèche 174">
            <a:extLst>
              <a:ext uri="{FF2B5EF4-FFF2-40B4-BE49-F238E27FC236}">
                <a16:creationId xmlns:a16="http://schemas.microsoft.com/office/drawing/2014/main" id="{5ED33A1E-87AD-4752-A724-607220961B29}"/>
              </a:ext>
            </a:extLst>
          </xdr:cNvPr>
          <xdr:cNvCxnSpPr>
            <a:stCxn id="19" idx="1"/>
            <a:endCxn id="25" idx="3"/>
          </xdr:cNvCxnSpPr>
        </xdr:nvCxnSpPr>
        <xdr:spPr>
          <a:xfrm flipH="1">
            <a:off x="9142621" y="1466613"/>
            <a:ext cx="813353" cy="511666"/>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8" name="Connecteur droit avec flèche 177">
            <a:extLst>
              <a:ext uri="{FF2B5EF4-FFF2-40B4-BE49-F238E27FC236}">
                <a16:creationId xmlns:a16="http://schemas.microsoft.com/office/drawing/2014/main" id="{CB157D22-A864-474C-B227-55FB6F8ADF75}"/>
              </a:ext>
            </a:extLst>
          </xdr:cNvPr>
          <xdr:cNvCxnSpPr>
            <a:stCxn id="19" idx="1"/>
            <a:endCxn id="28" idx="3"/>
          </xdr:cNvCxnSpPr>
        </xdr:nvCxnSpPr>
        <xdr:spPr>
          <a:xfrm flipH="1">
            <a:off x="9148695" y="1466613"/>
            <a:ext cx="807279" cy="118285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1" name="Connecteur droit avec flèche 180">
            <a:extLst>
              <a:ext uri="{FF2B5EF4-FFF2-40B4-BE49-F238E27FC236}">
                <a16:creationId xmlns:a16="http://schemas.microsoft.com/office/drawing/2014/main" id="{5B0056BD-6F5E-4356-BFC1-32BD03E8A18F}"/>
              </a:ext>
            </a:extLst>
          </xdr:cNvPr>
          <xdr:cNvCxnSpPr>
            <a:stCxn id="19" idx="1"/>
            <a:endCxn id="27" idx="3"/>
          </xdr:cNvCxnSpPr>
        </xdr:nvCxnSpPr>
        <xdr:spPr>
          <a:xfrm flipH="1">
            <a:off x="9153388" y="1466613"/>
            <a:ext cx="802586" cy="1853214"/>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Connecteur droit avec flèche 193">
            <a:extLst>
              <a:ext uri="{FF2B5EF4-FFF2-40B4-BE49-F238E27FC236}">
                <a16:creationId xmlns:a16="http://schemas.microsoft.com/office/drawing/2014/main" id="{4AE1CF31-0694-4484-AC25-5F21203AB245}"/>
              </a:ext>
            </a:extLst>
          </xdr:cNvPr>
          <xdr:cNvCxnSpPr>
            <a:stCxn id="21" idx="1"/>
            <a:endCxn id="27" idx="3"/>
          </xdr:cNvCxnSpPr>
        </xdr:nvCxnSpPr>
        <xdr:spPr>
          <a:xfrm flipH="1">
            <a:off x="9153388" y="2384527"/>
            <a:ext cx="776873" cy="935695"/>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Connecteur droit avec flèche 194">
            <a:extLst>
              <a:ext uri="{FF2B5EF4-FFF2-40B4-BE49-F238E27FC236}">
                <a16:creationId xmlns:a16="http://schemas.microsoft.com/office/drawing/2014/main" id="{A2904903-2AA0-4E84-BC61-527CE7E1FA84}"/>
              </a:ext>
            </a:extLst>
          </xdr:cNvPr>
          <xdr:cNvCxnSpPr>
            <a:stCxn id="21" idx="1"/>
            <a:endCxn id="28" idx="3"/>
          </xdr:cNvCxnSpPr>
        </xdr:nvCxnSpPr>
        <xdr:spPr>
          <a:xfrm flipH="1">
            <a:off x="9148695" y="2384527"/>
            <a:ext cx="781566" cy="264938"/>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6" name="Connecteur droit avec flèche 195">
            <a:extLst>
              <a:ext uri="{FF2B5EF4-FFF2-40B4-BE49-F238E27FC236}">
                <a16:creationId xmlns:a16="http://schemas.microsoft.com/office/drawing/2014/main" id="{65C7E4D8-AFE4-4B14-AED6-705331FD4BD4}"/>
              </a:ext>
            </a:extLst>
          </xdr:cNvPr>
          <xdr:cNvCxnSpPr>
            <a:stCxn id="21" idx="1"/>
            <a:endCxn id="25" idx="3"/>
          </xdr:cNvCxnSpPr>
        </xdr:nvCxnSpPr>
        <xdr:spPr>
          <a:xfrm flipH="1" flipV="1">
            <a:off x="9142621" y="1977884"/>
            <a:ext cx="787640" cy="4066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4" name="Connecteur droit avec flèche 203">
            <a:extLst>
              <a:ext uri="{FF2B5EF4-FFF2-40B4-BE49-F238E27FC236}">
                <a16:creationId xmlns:a16="http://schemas.microsoft.com/office/drawing/2014/main" id="{F2F8E9A4-A28F-4312-B03E-7F8E1BD414EF}"/>
              </a:ext>
            </a:extLst>
          </xdr:cNvPr>
          <xdr:cNvCxnSpPr>
            <a:stCxn id="21" idx="1"/>
            <a:endCxn id="24" idx="3"/>
          </xdr:cNvCxnSpPr>
        </xdr:nvCxnSpPr>
        <xdr:spPr>
          <a:xfrm flipH="1" flipV="1">
            <a:off x="9151732" y="1301865"/>
            <a:ext cx="778529" cy="108266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7" name="Connecteur droit avec flèche 206">
            <a:extLst>
              <a:ext uri="{FF2B5EF4-FFF2-40B4-BE49-F238E27FC236}">
                <a16:creationId xmlns:a16="http://schemas.microsoft.com/office/drawing/2014/main" id="{56AFC346-57AF-4FA3-869D-239FE957BC89}"/>
              </a:ext>
            </a:extLst>
          </xdr:cNvPr>
          <xdr:cNvCxnSpPr>
            <a:stCxn id="21" idx="1"/>
            <a:endCxn id="23" idx="3"/>
          </xdr:cNvCxnSpPr>
        </xdr:nvCxnSpPr>
        <xdr:spPr>
          <a:xfrm flipH="1" flipV="1">
            <a:off x="9152008" y="626834"/>
            <a:ext cx="778253" cy="175769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0" name="Connecteur droit avec flèche 239">
            <a:extLst>
              <a:ext uri="{FF2B5EF4-FFF2-40B4-BE49-F238E27FC236}">
                <a16:creationId xmlns:a16="http://schemas.microsoft.com/office/drawing/2014/main" id="{5D9F7ECF-FF32-429D-967C-B71FE1EB83A3}"/>
              </a:ext>
            </a:extLst>
          </xdr:cNvPr>
          <xdr:cNvCxnSpPr>
            <a:stCxn id="17" idx="1"/>
            <a:endCxn id="16" idx="3"/>
          </xdr:cNvCxnSpPr>
        </xdr:nvCxnSpPr>
        <xdr:spPr>
          <a:xfrm flipH="1" flipV="1">
            <a:off x="11182903" y="565544"/>
            <a:ext cx="559626" cy="6350"/>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4" name="Connecteur droit avec flèche 243">
            <a:extLst>
              <a:ext uri="{FF2B5EF4-FFF2-40B4-BE49-F238E27FC236}">
                <a16:creationId xmlns:a16="http://schemas.microsoft.com/office/drawing/2014/main" id="{32D93DD1-F1DF-4507-975B-7D6A5F33C3B7}"/>
              </a:ext>
            </a:extLst>
          </xdr:cNvPr>
          <xdr:cNvCxnSpPr>
            <a:stCxn id="15" idx="1"/>
            <a:endCxn id="17" idx="3"/>
          </xdr:cNvCxnSpPr>
        </xdr:nvCxnSpPr>
        <xdr:spPr>
          <a:xfrm flipH="1" flipV="1">
            <a:off x="12974429" y="571894"/>
            <a:ext cx="417447" cy="11872"/>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5" name="Connecteur droit avec flèche 254">
            <a:extLst>
              <a:ext uri="{FF2B5EF4-FFF2-40B4-BE49-F238E27FC236}">
                <a16:creationId xmlns:a16="http://schemas.microsoft.com/office/drawing/2014/main" id="{09568A34-D24C-4694-A91D-499DD2A8E574}"/>
              </a:ext>
            </a:extLst>
          </xdr:cNvPr>
          <xdr:cNvCxnSpPr>
            <a:stCxn id="20" idx="1"/>
            <a:endCxn id="19" idx="3"/>
          </xdr:cNvCxnSpPr>
        </xdr:nvCxnSpPr>
        <xdr:spPr>
          <a:xfrm flipH="1" flipV="1">
            <a:off x="11187874" y="1466613"/>
            <a:ext cx="458855" cy="13666"/>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8" name="Connecteur droit avec flèche 257">
            <a:extLst>
              <a:ext uri="{FF2B5EF4-FFF2-40B4-BE49-F238E27FC236}">
                <a16:creationId xmlns:a16="http://schemas.microsoft.com/office/drawing/2014/main" id="{186E848D-FDCA-4F47-817E-8AAA77527302}"/>
              </a:ext>
            </a:extLst>
          </xdr:cNvPr>
          <xdr:cNvCxnSpPr>
            <a:stCxn id="2" idx="1"/>
            <a:endCxn id="5" idx="3"/>
          </xdr:cNvCxnSpPr>
        </xdr:nvCxnSpPr>
        <xdr:spPr>
          <a:xfrm flipH="1" flipV="1">
            <a:off x="12809331" y="3272261"/>
            <a:ext cx="432553" cy="4"/>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1" name="Connecteur droit avec flèche 260">
            <a:extLst>
              <a:ext uri="{FF2B5EF4-FFF2-40B4-BE49-F238E27FC236}">
                <a16:creationId xmlns:a16="http://schemas.microsoft.com/office/drawing/2014/main" id="{6F2685C7-C51D-4EF7-A8D0-F8C2F11C17B3}"/>
              </a:ext>
            </a:extLst>
          </xdr:cNvPr>
          <xdr:cNvCxnSpPr>
            <a:stCxn id="5" idx="1"/>
            <a:endCxn id="6" idx="3"/>
          </xdr:cNvCxnSpPr>
        </xdr:nvCxnSpPr>
        <xdr:spPr>
          <a:xfrm flipH="1">
            <a:off x="11162080" y="3272261"/>
            <a:ext cx="415351" cy="833"/>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8" name="Connecteur droit avec flèche 267">
            <a:extLst>
              <a:ext uri="{FF2B5EF4-FFF2-40B4-BE49-F238E27FC236}">
                <a16:creationId xmlns:a16="http://schemas.microsoft.com/office/drawing/2014/main" id="{1B802827-86FB-4B15-80B0-693FFFEF4A71}"/>
              </a:ext>
            </a:extLst>
          </xdr:cNvPr>
          <xdr:cNvCxnSpPr>
            <a:stCxn id="6" idx="1"/>
            <a:endCxn id="25" idx="3"/>
          </xdr:cNvCxnSpPr>
        </xdr:nvCxnSpPr>
        <xdr:spPr>
          <a:xfrm flipH="1" flipV="1">
            <a:off x="9142621" y="1977884"/>
            <a:ext cx="787559" cy="129521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1" name="Connecteur droit avec flèche 270">
            <a:extLst>
              <a:ext uri="{FF2B5EF4-FFF2-40B4-BE49-F238E27FC236}">
                <a16:creationId xmlns:a16="http://schemas.microsoft.com/office/drawing/2014/main" id="{301E9C78-2B4B-4A43-BA27-F520033FE4C2}"/>
              </a:ext>
            </a:extLst>
          </xdr:cNvPr>
          <xdr:cNvCxnSpPr>
            <a:stCxn id="6" idx="1"/>
            <a:endCxn id="23" idx="3"/>
          </xdr:cNvCxnSpPr>
        </xdr:nvCxnSpPr>
        <xdr:spPr>
          <a:xfrm flipH="1" flipV="1">
            <a:off x="9152008" y="626834"/>
            <a:ext cx="778172" cy="264626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7" name="Connecteur : en angle 276">
            <a:extLst>
              <a:ext uri="{FF2B5EF4-FFF2-40B4-BE49-F238E27FC236}">
                <a16:creationId xmlns:a16="http://schemas.microsoft.com/office/drawing/2014/main" id="{51461FD0-64FD-4A3A-BA72-5A99617A10FD}"/>
              </a:ext>
            </a:extLst>
          </xdr:cNvPr>
          <xdr:cNvCxnSpPr>
            <a:stCxn id="24" idx="1"/>
            <a:endCxn id="26" idx="1"/>
          </xdr:cNvCxnSpPr>
        </xdr:nvCxnSpPr>
        <xdr:spPr>
          <a:xfrm rot="10800000" flipH="1" flipV="1">
            <a:off x="7919832" y="1301469"/>
            <a:ext cx="4416" cy="2687846"/>
          </a:xfrm>
          <a:prstGeom prst="bentConnector3">
            <a:avLst>
              <a:gd name="adj1" fmla="val -517663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1" name="Connecteur : en angle 280">
            <a:extLst>
              <a:ext uri="{FF2B5EF4-FFF2-40B4-BE49-F238E27FC236}">
                <a16:creationId xmlns:a16="http://schemas.microsoft.com/office/drawing/2014/main" id="{3038268D-0D97-4ED4-8F70-9B5185B2C532}"/>
              </a:ext>
            </a:extLst>
          </xdr:cNvPr>
          <xdr:cNvCxnSpPr>
            <a:stCxn id="25" idx="1"/>
            <a:endCxn id="26" idx="1"/>
          </xdr:cNvCxnSpPr>
        </xdr:nvCxnSpPr>
        <xdr:spPr>
          <a:xfrm rot="10800000" flipH="1" flipV="1">
            <a:off x="7910720" y="1978279"/>
            <a:ext cx="13527" cy="2011037"/>
          </a:xfrm>
          <a:prstGeom prst="bentConnector3">
            <a:avLst>
              <a:gd name="adj1" fmla="val -1689953"/>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5" name="Connecteur : en angle 284">
            <a:extLst>
              <a:ext uri="{FF2B5EF4-FFF2-40B4-BE49-F238E27FC236}">
                <a16:creationId xmlns:a16="http://schemas.microsoft.com/office/drawing/2014/main" id="{F8F9E179-044A-4B74-A070-25B6A309FAC6}"/>
              </a:ext>
            </a:extLst>
          </xdr:cNvPr>
          <xdr:cNvCxnSpPr>
            <a:stCxn id="25" idx="1"/>
            <a:endCxn id="27" idx="1"/>
          </xdr:cNvCxnSpPr>
        </xdr:nvCxnSpPr>
        <xdr:spPr>
          <a:xfrm rot="10800000" flipH="1" flipV="1">
            <a:off x="7910720" y="1978278"/>
            <a:ext cx="10767" cy="1341548"/>
          </a:xfrm>
          <a:prstGeom prst="bentConnector3">
            <a:avLst>
              <a:gd name="adj1" fmla="val -2123154"/>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9" name="Connecteur : en angle 288">
            <a:extLst>
              <a:ext uri="{FF2B5EF4-FFF2-40B4-BE49-F238E27FC236}">
                <a16:creationId xmlns:a16="http://schemas.microsoft.com/office/drawing/2014/main" id="{C9603172-F763-4FCB-925F-CEF933187945}"/>
              </a:ext>
            </a:extLst>
          </xdr:cNvPr>
          <xdr:cNvCxnSpPr>
            <a:stCxn id="24" idx="1"/>
            <a:endCxn id="27" idx="1"/>
          </xdr:cNvCxnSpPr>
        </xdr:nvCxnSpPr>
        <xdr:spPr>
          <a:xfrm rot="10800000" flipH="1" flipV="1">
            <a:off x="7919832" y="1301470"/>
            <a:ext cx="1656" cy="2018357"/>
          </a:xfrm>
          <a:prstGeom prst="bentConnector3">
            <a:avLst>
              <a:gd name="adj1" fmla="val -13804348"/>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16" name="Connecteur : en angle 315">
            <a:extLst>
              <a:ext uri="{FF2B5EF4-FFF2-40B4-BE49-F238E27FC236}">
                <a16:creationId xmlns:a16="http://schemas.microsoft.com/office/drawing/2014/main" id="{5261178B-DF60-4189-B4FF-FDFA833BB80B}"/>
              </a:ext>
            </a:extLst>
          </xdr:cNvPr>
          <xdr:cNvCxnSpPr>
            <a:stCxn id="29" idx="1"/>
            <a:endCxn id="14" idx="1"/>
          </xdr:cNvCxnSpPr>
        </xdr:nvCxnSpPr>
        <xdr:spPr>
          <a:xfrm rot="10800000" flipH="1">
            <a:off x="5612848" y="2030361"/>
            <a:ext cx="17946" cy="1686556"/>
          </a:xfrm>
          <a:prstGeom prst="bentConnector3">
            <a:avLst>
              <a:gd name="adj1" fmla="val -1273821"/>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0" name="Connecteur : en angle 319">
            <a:extLst>
              <a:ext uri="{FF2B5EF4-FFF2-40B4-BE49-F238E27FC236}">
                <a16:creationId xmlns:a16="http://schemas.microsoft.com/office/drawing/2014/main" id="{F3578456-27C7-46B8-93ED-E57D27480814}"/>
              </a:ext>
            </a:extLst>
          </xdr:cNvPr>
          <xdr:cNvCxnSpPr>
            <a:stCxn id="29" idx="1"/>
            <a:endCxn id="13" idx="1"/>
          </xdr:cNvCxnSpPr>
        </xdr:nvCxnSpPr>
        <xdr:spPr>
          <a:xfrm rot="10800000" flipH="1">
            <a:off x="5612848" y="1320384"/>
            <a:ext cx="42518" cy="2396533"/>
          </a:xfrm>
          <a:prstGeom prst="bentConnector3">
            <a:avLst>
              <a:gd name="adj1" fmla="val -537655"/>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2" name="Connecteur : en angle 321">
            <a:extLst>
              <a:ext uri="{FF2B5EF4-FFF2-40B4-BE49-F238E27FC236}">
                <a16:creationId xmlns:a16="http://schemas.microsoft.com/office/drawing/2014/main" id="{2E516836-1041-47E8-A1BB-D233975C8246}"/>
              </a:ext>
            </a:extLst>
          </xdr:cNvPr>
          <xdr:cNvCxnSpPr>
            <a:stCxn id="29" idx="1"/>
            <a:endCxn id="12" idx="1"/>
          </xdr:cNvCxnSpPr>
        </xdr:nvCxnSpPr>
        <xdr:spPr>
          <a:xfrm rot="10800000" flipH="1">
            <a:off x="5612847" y="606542"/>
            <a:ext cx="38929" cy="3110375"/>
          </a:xfrm>
          <a:prstGeom prst="bentConnector3">
            <a:avLst>
              <a:gd name="adj1" fmla="val -587223"/>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8" name="Connecteur : en angle 327">
            <a:extLst>
              <a:ext uri="{FF2B5EF4-FFF2-40B4-BE49-F238E27FC236}">
                <a16:creationId xmlns:a16="http://schemas.microsoft.com/office/drawing/2014/main" id="{C8873BCE-9BD2-40E8-9789-7FA7D1651585}"/>
              </a:ext>
            </a:extLst>
          </xdr:cNvPr>
          <xdr:cNvCxnSpPr>
            <a:stCxn id="10" idx="3"/>
            <a:endCxn id="25" idx="1"/>
          </xdr:cNvCxnSpPr>
        </xdr:nvCxnSpPr>
        <xdr:spPr>
          <a:xfrm flipV="1">
            <a:off x="6861588" y="1978279"/>
            <a:ext cx="1049133" cy="922050"/>
          </a:xfrm>
          <a:prstGeom prst="bentConnector3">
            <a:avLst>
              <a:gd name="adj1" fmla="val 50000"/>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9" name="Connecteur : en angle 348">
            <a:extLst>
              <a:ext uri="{FF2B5EF4-FFF2-40B4-BE49-F238E27FC236}">
                <a16:creationId xmlns:a16="http://schemas.microsoft.com/office/drawing/2014/main" id="{BAECA983-8365-4CCA-9559-ECBF82D6B56B}"/>
              </a:ext>
            </a:extLst>
          </xdr:cNvPr>
          <xdr:cNvCxnSpPr>
            <a:stCxn id="10" idx="1"/>
            <a:endCxn id="14" idx="1"/>
          </xdr:cNvCxnSpPr>
        </xdr:nvCxnSpPr>
        <xdr:spPr>
          <a:xfrm rot="10800000" flipH="1">
            <a:off x="5629688" y="2030362"/>
            <a:ext cx="1106" cy="869968"/>
          </a:xfrm>
          <a:prstGeom prst="bentConnector3">
            <a:avLst>
              <a:gd name="adj1" fmla="val -20669078"/>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Connecteur : en angle 361">
            <a:extLst>
              <a:ext uri="{FF2B5EF4-FFF2-40B4-BE49-F238E27FC236}">
                <a16:creationId xmlns:a16="http://schemas.microsoft.com/office/drawing/2014/main" id="{A44977AC-D3F3-4C5C-81FC-C60C1913C69D}"/>
              </a:ext>
            </a:extLst>
          </xdr:cNvPr>
          <xdr:cNvCxnSpPr>
            <a:stCxn id="10" idx="1"/>
            <a:endCxn id="13" idx="1"/>
          </xdr:cNvCxnSpPr>
        </xdr:nvCxnSpPr>
        <xdr:spPr>
          <a:xfrm rot="10800000" flipH="1">
            <a:off x="5629688" y="1320385"/>
            <a:ext cx="25678" cy="1579945"/>
          </a:xfrm>
          <a:prstGeom prst="bentConnector3">
            <a:avLst>
              <a:gd name="adj1" fmla="val -890256"/>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Connecteur : en angle 364">
            <a:extLst>
              <a:ext uri="{FF2B5EF4-FFF2-40B4-BE49-F238E27FC236}">
                <a16:creationId xmlns:a16="http://schemas.microsoft.com/office/drawing/2014/main" id="{B0BD9008-DE69-4702-A67B-B4F80A5649B9}"/>
              </a:ext>
            </a:extLst>
          </xdr:cNvPr>
          <xdr:cNvCxnSpPr>
            <a:stCxn id="10" idx="1"/>
            <a:endCxn id="12" idx="1"/>
          </xdr:cNvCxnSpPr>
        </xdr:nvCxnSpPr>
        <xdr:spPr>
          <a:xfrm rot="10800000" flipH="1">
            <a:off x="5629687" y="606543"/>
            <a:ext cx="22089" cy="2293787"/>
          </a:xfrm>
          <a:prstGeom prst="bentConnector3">
            <a:avLst>
              <a:gd name="adj1" fmla="val -1034904"/>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Connecteur droit avec flèche 403">
            <a:extLst>
              <a:ext uri="{FF2B5EF4-FFF2-40B4-BE49-F238E27FC236}">
                <a16:creationId xmlns:a16="http://schemas.microsoft.com/office/drawing/2014/main" id="{C6C56DE0-35F4-4423-99AC-A7DC7228BD31}"/>
              </a:ext>
            </a:extLst>
          </xdr:cNvPr>
          <xdr:cNvCxnSpPr>
            <a:stCxn id="16" idx="1"/>
            <a:endCxn id="23" idx="3"/>
          </xdr:cNvCxnSpPr>
        </xdr:nvCxnSpPr>
        <xdr:spPr>
          <a:xfrm flipH="1">
            <a:off x="9152008" y="565544"/>
            <a:ext cx="798995" cy="61290"/>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7" name="Connecteur droit avec flèche 406">
            <a:extLst>
              <a:ext uri="{FF2B5EF4-FFF2-40B4-BE49-F238E27FC236}">
                <a16:creationId xmlns:a16="http://schemas.microsoft.com/office/drawing/2014/main" id="{16D92143-C9FC-4279-B47A-DA213690D07E}"/>
              </a:ext>
            </a:extLst>
          </xdr:cNvPr>
          <xdr:cNvCxnSpPr>
            <a:stCxn id="16" idx="1"/>
            <a:endCxn id="24" idx="3"/>
          </xdr:cNvCxnSpPr>
        </xdr:nvCxnSpPr>
        <xdr:spPr>
          <a:xfrm flipH="1">
            <a:off x="9151732" y="565544"/>
            <a:ext cx="799271" cy="735926"/>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0" name="Connecteur droit avec flèche 409">
            <a:extLst>
              <a:ext uri="{FF2B5EF4-FFF2-40B4-BE49-F238E27FC236}">
                <a16:creationId xmlns:a16="http://schemas.microsoft.com/office/drawing/2014/main" id="{6FE326BC-D412-4FE9-9050-07CD24998D5A}"/>
              </a:ext>
            </a:extLst>
          </xdr:cNvPr>
          <xdr:cNvCxnSpPr>
            <a:stCxn id="16" idx="1"/>
            <a:endCxn id="25" idx="3"/>
          </xdr:cNvCxnSpPr>
        </xdr:nvCxnSpPr>
        <xdr:spPr>
          <a:xfrm flipH="1">
            <a:off x="9142621" y="565544"/>
            <a:ext cx="808382" cy="1412735"/>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3" name="Connecteur droit avec flèche 412">
            <a:extLst>
              <a:ext uri="{FF2B5EF4-FFF2-40B4-BE49-F238E27FC236}">
                <a16:creationId xmlns:a16="http://schemas.microsoft.com/office/drawing/2014/main" id="{A788D890-4486-4A83-9132-1EA3D4E115D7}"/>
              </a:ext>
            </a:extLst>
          </xdr:cNvPr>
          <xdr:cNvCxnSpPr>
            <a:stCxn id="16" idx="1"/>
            <a:endCxn id="28" idx="3"/>
          </xdr:cNvCxnSpPr>
        </xdr:nvCxnSpPr>
        <xdr:spPr>
          <a:xfrm flipH="1">
            <a:off x="9148695" y="565544"/>
            <a:ext cx="802308" cy="2083921"/>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6" name="Connecteur droit avec flèche 415">
            <a:extLst>
              <a:ext uri="{FF2B5EF4-FFF2-40B4-BE49-F238E27FC236}">
                <a16:creationId xmlns:a16="http://schemas.microsoft.com/office/drawing/2014/main" id="{64EB05B9-5154-43BC-B925-682E4AAB0BF5}"/>
              </a:ext>
            </a:extLst>
          </xdr:cNvPr>
          <xdr:cNvCxnSpPr>
            <a:stCxn id="16" idx="1"/>
            <a:endCxn id="27" idx="3"/>
          </xdr:cNvCxnSpPr>
        </xdr:nvCxnSpPr>
        <xdr:spPr>
          <a:xfrm flipH="1">
            <a:off x="9153388" y="565544"/>
            <a:ext cx="797615" cy="275428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9" name="Connecteur droit avec flèche 418">
            <a:extLst>
              <a:ext uri="{FF2B5EF4-FFF2-40B4-BE49-F238E27FC236}">
                <a16:creationId xmlns:a16="http://schemas.microsoft.com/office/drawing/2014/main" id="{81E68320-BAF2-4459-8A09-2768239B9E16}"/>
              </a:ext>
            </a:extLst>
          </xdr:cNvPr>
          <xdr:cNvCxnSpPr>
            <a:stCxn id="16" idx="1"/>
            <a:endCxn id="26" idx="3"/>
          </xdr:cNvCxnSpPr>
        </xdr:nvCxnSpPr>
        <xdr:spPr>
          <a:xfrm flipH="1">
            <a:off x="9156148" y="565544"/>
            <a:ext cx="794855" cy="3423772"/>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19</xdr:row>
      <xdr:rowOff>50800</xdr:rowOff>
    </xdr:from>
    <xdr:to>
      <xdr:col>8</xdr:col>
      <xdr:colOff>533400</xdr:colOff>
      <xdr:row>24</xdr:row>
      <xdr:rowOff>146050</xdr:rowOff>
    </xdr:to>
    <xdr:sp macro="" textlink="">
      <xdr:nvSpPr>
        <xdr:cNvPr id="2" name="Bulle narrative : rectangle 1">
          <a:extLst>
            <a:ext uri="{FF2B5EF4-FFF2-40B4-BE49-F238E27FC236}">
              <a16:creationId xmlns:a16="http://schemas.microsoft.com/office/drawing/2014/main" id="{04B0BF99-C21E-4E9B-87EA-C2ACC9DBA9F9}"/>
            </a:ext>
          </a:extLst>
        </xdr:cNvPr>
        <xdr:cNvSpPr/>
      </xdr:nvSpPr>
      <xdr:spPr>
        <a:xfrm>
          <a:off x="6267450" y="3086100"/>
          <a:ext cx="1854200" cy="889000"/>
        </a:xfrm>
        <a:prstGeom prst="wedgeRectCallout">
          <a:avLst>
            <a:gd name="adj1" fmla="val -241723"/>
            <a:gd name="adj2" fmla="val -2892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Les variables que le client peut</a:t>
          </a:r>
          <a:r>
            <a:rPr lang="fr-FR" sz="1100" baseline="0"/>
            <a:t> changer sont en bleu sur toutes les feuilles</a:t>
          </a:r>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2cd1bbc1db55061/1.%20ZOE/1.%20Mission/5.%20Publication%20Facebook%20%5e0%20Site/SITE%20INTERNET/ZOE_BP%20CommerceGros_BluePri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P_Pres"/>
      <sheetName val="HypSynt"/>
      <sheetName val="Calen"/>
      <sheetName val="2.1.Hyp"/>
      <sheetName val="4.PR"/>
      <sheetName val="2.2.HypFin"/>
      <sheetName val="Feuil1"/>
      <sheetName val="3.CA"/>
      <sheetName val="4.BI"/>
      <sheetName val="7.AmAct"/>
      <sheetName val="5.IC"/>
      <sheetName val="CmptRes"/>
      <sheetName val="6.P&amp;LF"/>
      <sheetName val="8.TRM"/>
      <sheetName val="10.TRA"/>
      <sheetName val="11.BFR"/>
      <sheetName val="12.AmFin"/>
      <sheetName val="13.CFS"/>
      <sheetName val="14.Bilan"/>
      <sheetName val="VAN  "/>
      <sheetName val="TRI   "/>
      <sheetName val="IP"/>
      <sheetName val="seuil rent° "/>
      <sheetName val="rent° eco° "/>
      <sheetName val="rent° fin°"/>
      <sheetName val="chrges Exp°"/>
      <sheetName val="prix de vente "/>
      <sheetName val="11.BFR (2)"/>
      <sheetName val="12.Fin"/>
      <sheetName val="Equip"/>
      <sheetName val="Prev. Res"/>
    </sheetNames>
    <sheetDataSet>
      <sheetData sheetId="0"/>
      <sheetData sheetId="1"/>
      <sheetData sheetId="2"/>
      <sheetData sheetId="3">
        <row r="8">
          <cell r="K8">
            <v>7</v>
          </cell>
          <cell r="L8">
            <v>7</v>
          </cell>
          <cell r="M8">
            <v>7.7000000000000011</v>
          </cell>
          <cell r="N8">
            <v>8.4700000000000006</v>
          </cell>
          <cell r="O8">
            <v>9.3170000000000019</v>
          </cell>
        </row>
      </sheetData>
      <sheetData sheetId="4"/>
      <sheetData sheetId="5"/>
      <sheetData sheetId="6"/>
      <sheetData sheetId="7"/>
      <sheetData sheetId="8"/>
      <sheetData sheetId="9"/>
      <sheetData sheetId="10"/>
      <sheetData sheetId="11">
        <row r="11">
          <cell r="J11" t="str">
            <v>Recettes</v>
          </cell>
          <cell r="K11">
            <v>244723500</v>
          </cell>
          <cell r="L11">
            <v>244723500</v>
          </cell>
          <cell r="M11">
            <v>269195850.00000006</v>
          </cell>
          <cell r="N11">
            <v>296115435</v>
          </cell>
          <cell r="O11">
            <v>325726978.50000006</v>
          </cell>
          <cell r="Q11" t="str">
            <v>Total</v>
          </cell>
          <cell r="R11">
            <v>233899371</v>
          </cell>
          <cell r="S11">
            <v>235399371</v>
          </cell>
          <cell r="T11">
            <v>258667308.10000002</v>
          </cell>
          <cell r="U11">
            <v>284223038.91000003</v>
          </cell>
          <cell r="V11">
            <v>312331092.80100012</v>
          </cell>
        </row>
        <row r="47">
          <cell r="K47">
            <v>0</v>
          </cell>
          <cell r="L47">
            <v>0</v>
          </cell>
          <cell r="M47">
            <v>0</v>
          </cell>
          <cell r="N47">
            <v>0</v>
          </cell>
          <cell r="O47">
            <v>0</v>
          </cell>
        </row>
        <row r="81">
          <cell r="A81" t="str">
            <v>TOTAL</v>
          </cell>
          <cell r="D81">
            <v>33407053</v>
          </cell>
        </row>
      </sheetData>
      <sheetData sheetId="12"/>
      <sheetData sheetId="13">
        <row r="69">
          <cell r="D69">
            <v>0</v>
          </cell>
          <cell r="E69">
            <v>0</v>
          </cell>
          <cell r="F69">
            <v>0</v>
          </cell>
          <cell r="G69">
            <v>0</v>
          </cell>
          <cell r="H69">
            <v>0</v>
          </cell>
          <cell r="I69">
            <v>0</v>
          </cell>
          <cell r="J69">
            <v>0</v>
          </cell>
          <cell r="K69">
            <v>0</v>
          </cell>
          <cell r="L69">
            <v>0</v>
          </cell>
          <cell r="M69">
            <v>0</v>
          </cell>
          <cell r="N69">
            <v>0</v>
          </cell>
          <cell r="O69">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persons/person.xml><?xml version="1.0" encoding="utf-8"?>
<personList xmlns="http://schemas.microsoft.com/office/spreadsheetml/2018/threadedcomments" xmlns:x="http://schemas.openxmlformats.org/spreadsheetml/2006/main">
  <person displayName="Roméo NANGO" id="{D1CC79A5-C51F-4311-9ECB-976F118C2FBC}" userId="12cd1bbc1db55061" providerId="Windows Live"/>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 dT="2021-07-09T14:50:13.60" personId="{D1CC79A5-C51F-4311-9ECB-976F118C2FBC}" id="{0DC1CFCC-8E87-4120-A5CE-81803D9925C8}">
    <text>Il faudra rajouter une condition ici liée à la trésorerie de sorte que s'il ya une valeur negative dans la trésorerie, le BFR est augmenté</text>
  </threadedComment>
  <threadedComment ref="A16" dT="2021-07-14T20:10:48.48" personId="{D1CC79A5-C51F-4311-9ECB-976F118C2FBC}" id="{472EA5F1-1742-4A3D-BAE2-5ED12FEDC82A}">
    <text>l'apport initial est remboursé à une échéance de plus de 1 an.</text>
  </threadedComment>
</ThreadedComments>
</file>

<file path=xl/threadedComments/threadedComment2.xml><?xml version="1.0" encoding="utf-8"?>
<ThreadedComments xmlns="http://schemas.microsoft.com/office/spreadsheetml/2018/threadedcomments" xmlns:x="http://schemas.openxmlformats.org/spreadsheetml/2006/main">
  <threadedComment ref="Q26" dT="2021-07-08T13:20:39.16" personId="{D1CC79A5-C51F-4311-9ECB-976F118C2FBC}" id="{B607EB17-4901-4E62-BEAA-0B5FCBFF568B}">
    <text>Il faudra supposer dans tous les BP que le salaire est fixe ou évolue par pallier</text>
  </threadedComment>
</ThreadedComments>
</file>

<file path=xl/threadedComments/threadedComment3.xml><?xml version="1.0" encoding="utf-8"?>
<ThreadedComments xmlns="http://schemas.microsoft.com/office/spreadsheetml/2018/threadedcomments" xmlns:x="http://schemas.openxmlformats.org/spreadsheetml/2006/main">
  <threadedComment ref="B13" dT="2021-07-14T19:53:13.61" personId="{D1CC79A5-C51F-4311-9ECB-976F118C2FBC}" id="{84C99116-3A25-46E8-BD38-B6495E59A964}">
    <text>L'apport initial est fixé à Zéro</text>
  </threadedComment>
  <threadedComment ref="B14" dT="2021-07-14T20:50:04.13" personId="{D1CC79A5-C51F-4311-9ECB-976F118C2FBC}" id="{3D9764C8-0B18-4565-8A2A-9EFD50A27FA6}">
    <text>Tous les revenus obtenus sont reinvesti durant toute la durée du projet.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798A-619B-44E8-9556-018AA3805037}">
  <sheetPr>
    <tabColor rgb="FFFFFF00"/>
    <pageSetUpPr fitToPage="1"/>
  </sheetPr>
  <dimension ref="A2:M411"/>
  <sheetViews>
    <sheetView showGridLines="0" tabSelected="1" zoomScale="85" zoomScaleNormal="85" zoomScaleSheetLayoutView="80" workbookViewId="0">
      <selection activeCell="D18" sqref="D18"/>
    </sheetView>
  </sheetViews>
  <sheetFormatPr baseColWidth="10" defaultRowHeight="14"/>
  <cols>
    <col min="1" max="1" width="45.6640625" style="246" customWidth="1"/>
    <col min="2" max="2" width="25.6640625" style="246" customWidth="1"/>
    <col min="3" max="3" width="22" style="246" bestFit="1" customWidth="1"/>
    <col min="4" max="4" width="20.83203125" style="246" bestFit="1" customWidth="1"/>
    <col min="5" max="5" width="12" style="246" customWidth="1"/>
    <col min="6" max="6" width="11.5" style="246" customWidth="1"/>
    <col min="7" max="7" width="25.83203125" style="246" customWidth="1"/>
    <col min="8" max="8" width="32.5" style="246" customWidth="1"/>
    <col min="9" max="16384" width="10.83203125" style="246"/>
  </cols>
  <sheetData>
    <row r="2" spans="1:5">
      <c r="A2" s="124" t="s">
        <v>202</v>
      </c>
    </row>
    <row r="3" spans="1:5">
      <c r="A3" s="124" t="s">
        <v>203</v>
      </c>
    </row>
    <row r="4" spans="1:5">
      <c r="A4" s="124" t="s">
        <v>204</v>
      </c>
    </row>
    <row r="5" spans="1:5">
      <c r="A5" s="124" t="s">
        <v>205</v>
      </c>
    </row>
    <row r="8" spans="1:5" ht="15" thickBot="1"/>
    <row r="9" spans="1:5">
      <c r="A9" s="132" t="s">
        <v>292</v>
      </c>
      <c r="B9" s="133"/>
      <c r="C9" s="133"/>
      <c r="D9" s="134"/>
    </row>
    <row r="10" spans="1:5">
      <c r="A10" s="135" t="s">
        <v>85</v>
      </c>
      <c r="B10" s="136" t="s">
        <v>156</v>
      </c>
      <c r="C10" s="137" t="s">
        <v>41</v>
      </c>
      <c r="D10" s="137" t="s">
        <v>42</v>
      </c>
    </row>
    <row r="11" spans="1:5">
      <c r="A11" s="138" t="s">
        <v>61</v>
      </c>
      <c r="B11" s="139" t="s">
        <v>405</v>
      </c>
      <c r="C11" s="139" t="s">
        <v>409</v>
      </c>
      <c r="D11" s="139" t="s">
        <v>413</v>
      </c>
    </row>
    <row r="12" spans="1:5">
      <c r="A12" s="138" t="s">
        <v>61</v>
      </c>
      <c r="B12" s="139" t="s">
        <v>406</v>
      </c>
      <c r="C12" s="139" t="s">
        <v>410</v>
      </c>
      <c r="D12" s="139" t="s">
        <v>414</v>
      </c>
    </row>
    <row r="13" spans="1:5">
      <c r="A13" s="138" t="s">
        <v>61</v>
      </c>
      <c r="B13" s="139" t="s">
        <v>407</v>
      </c>
      <c r="C13" s="139" t="s">
        <v>411</v>
      </c>
      <c r="D13" s="139" t="s">
        <v>415</v>
      </c>
    </row>
    <row r="14" spans="1:5" s="247" customFormat="1">
      <c r="A14" s="138" t="s">
        <v>61</v>
      </c>
      <c r="B14" s="139" t="s">
        <v>408</v>
      </c>
      <c r="C14" s="139" t="s">
        <v>412</v>
      </c>
      <c r="D14" s="139" t="s">
        <v>416</v>
      </c>
      <c r="E14" s="247" t="s">
        <v>468</v>
      </c>
    </row>
    <row r="22" spans="1:7" ht="26.25" customHeight="1">
      <c r="A22" s="358"/>
      <c r="B22" s="359"/>
      <c r="F22" s="353"/>
      <c r="G22" s="353"/>
    </row>
    <row r="23" spans="1:7">
      <c r="A23" s="358"/>
      <c r="B23" s="359"/>
      <c r="C23" s="248"/>
    </row>
    <row r="24" spans="1:7">
      <c r="A24" s="358"/>
      <c r="B24" s="359"/>
    </row>
    <row r="25" spans="1:7">
      <c r="A25" s="249"/>
    </row>
    <row r="26" spans="1:7">
      <c r="A26" s="249"/>
    </row>
    <row r="27" spans="1:7">
      <c r="F27" s="353"/>
      <c r="G27" s="353"/>
    </row>
    <row r="28" spans="1:7">
      <c r="A28" s="249"/>
      <c r="D28" s="249"/>
    </row>
    <row r="29" spans="1:7" ht="19">
      <c r="A29" s="250"/>
    </row>
    <row r="30" spans="1:7" ht="19">
      <c r="A30" s="250"/>
    </row>
    <row r="31" spans="1:7" ht="19">
      <c r="A31" s="250"/>
    </row>
    <row r="32" spans="1:7" ht="19">
      <c r="A32" s="250"/>
    </row>
    <row r="33" spans="1:1" ht="19">
      <c r="A33" s="250"/>
    </row>
    <row r="34" spans="1:1" ht="19">
      <c r="A34" s="250"/>
    </row>
    <row r="35" spans="1:1" ht="19">
      <c r="A35" s="250"/>
    </row>
    <row r="36" spans="1:1">
      <c r="A36" s="249"/>
    </row>
    <row r="37" spans="1:1">
      <c r="A37" s="249"/>
    </row>
    <row r="38" spans="1:1">
      <c r="A38" s="249"/>
    </row>
    <row r="39" spans="1:1">
      <c r="A39" s="249"/>
    </row>
    <row r="40" spans="1:1">
      <c r="A40" s="249"/>
    </row>
    <row r="41" spans="1:1">
      <c r="A41" s="249"/>
    </row>
    <row r="42" spans="1:1">
      <c r="A42" s="249"/>
    </row>
    <row r="43" spans="1:1">
      <c r="A43" s="249"/>
    </row>
    <row r="44" spans="1:1" ht="16">
      <c r="A44" s="251"/>
    </row>
    <row r="45" spans="1:1" ht="16">
      <c r="A45" s="140"/>
    </row>
    <row r="46" spans="1:1" ht="16">
      <c r="A46" s="140"/>
    </row>
    <row r="47" spans="1:1" ht="16">
      <c r="A47" s="140"/>
    </row>
    <row r="48" spans="1:1" ht="16">
      <c r="A48" s="140"/>
    </row>
    <row r="49" spans="1:5" ht="16">
      <c r="A49" s="140"/>
    </row>
    <row r="51" spans="1:5">
      <c r="B51" s="252"/>
      <c r="C51" s="253"/>
      <c r="D51" s="252"/>
      <c r="E51" s="331"/>
    </row>
    <row r="52" spans="1:5">
      <c r="D52" s="249"/>
    </row>
    <row r="53" spans="1:5">
      <c r="D53" s="249"/>
    </row>
    <row r="54" spans="1:5">
      <c r="D54" s="249"/>
    </row>
    <row r="56" spans="1:5">
      <c r="C56" s="249"/>
    </row>
    <row r="57" spans="1:5">
      <c r="C57" s="249"/>
    </row>
    <row r="58" spans="1:5">
      <c r="C58" s="249"/>
    </row>
    <row r="59" spans="1:5">
      <c r="C59" s="249"/>
    </row>
    <row r="60" spans="1:5">
      <c r="D60" s="249"/>
    </row>
    <row r="61" spans="1:5">
      <c r="D61" s="249"/>
    </row>
    <row r="62" spans="1:5">
      <c r="D62" s="249"/>
    </row>
    <row r="63" spans="1:5">
      <c r="D63" s="249"/>
    </row>
    <row r="64" spans="1:5">
      <c r="D64" s="249"/>
    </row>
    <row r="65" spans="1:7">
      <c r="D65" s="249"/>
    </row>
    <row r="66" spans="1:7">
      <c r="C66" s="254"/>
    </row>
    <row r="72" spans="1:7">
      <c r="A72" s="249"/>
      <c r="F72" s="255"/>
    </row>
    <row r="73" spans="1:7">
      <c r="A73" s="249"/>
    </row>
    <row r="76" spans="1:7" ht="20">
      <c r="A76" s="354" t="s">
        <v>206</v>
      </c>
      <c r="B76" s="354"/>
      <c r="C76" s="354"/>
      <c r="D76" s="354"/>
      <c r="E76" s="354"/>
      <c r="F76" s="354"/>
      <c r="G76" s="354"/>
    </row>
    <row r="77" spans="1:7">
      <c r="A77" s="256" t="s">
        <v>207</v>
      </c>
      <c r="G77" s="257">
        <v>3</v>
      </c>
    </row>
    <row r="78" spans="1:7">
      <c r="A78" s="256" t="s">
        <v>26</v>
      </c>
      <c r="B78" s="256" t="s">
        <v>208</v>
      </c>
      <c r="G78" s="257">
        <v>4</v>
      </c>
    </row>
    <row r="79" spans="1:7">
      <c r="A79" s="256" t="s">
        <v>29</v>
      </c>
      <c r="B79" s="256" t="s">
        <v>209</v>
      </c>
      <c r="G79" s="257">
        <v>4</v>
      </c>
    </row>
    <row r="80" spans="1:7">
      <c r="A80" s="256" t="s">
        <v>32</v>
      </c>
      <c r="B80" s="256" t="s">
        <v>210</v>
      </c>
      <c r="G80" s="257">
        <v>4</v>
      </c>
    </row>
    <row r="81" spans="1:7">
      <c r="A81" s="256" t="s">
        <v>151</v>
      </c>
      <c r="B81" s="256" t="s">
        <v>211</v>
      </c>
      <c r="G81" s="257">
        <v>5</v>
      </c>
    </row>
    <row r="82" spans="1:7">
      <c r="A82" s="256" t="s">
        <v>212</v>
      </c>
      <c r="B82" s="256" t="s">
        <v>213</v>
      </c>
      <c r="G82" s="257">
        <v>5</v>
      </c>
    </row>
    <row r="83" spans="1:7">
      <c r="A83" s="258" t="s">
        <v>214</v>
      </c>
      <c r="B83" s="258" t="s">
        <v>215</v>
      </c>
      <c r="G83" s="257">
        <v>5</v>
      </c>
    </row>
    <row r="84" spans="1:7">
      <c r="A84" s="258" t="s">
        <v>216</v>
      </c>
      <c r="B84" s="258" t="s">
        <v>217</v>
      </c>
      <c r="G84" s="257">
        <v>5</v>
      </c>
    </row>
    <row r="85" spans="1:7">
      <c r="A85" s="258" t="s">
        <v>218</v>
      </c>
      <c r="B85" s="258" t="s">
        <v>219</v>
      </c>
      <c r="G85" s="257">
        <v>6</v>
      </c>
    </row>
    <row r="86" spans="1:7">
      <c r="A86" s="258" t="s">
        <v>220</v>
      </c>
      <c r="B86" s="258" t="s">
        <v>221</v>
      </c>
      <c r="G86" s="257">
        <v>7</v>
      </c>
    </row>
    <row r="87" spans="1:7">
      <c r="A87" s="256" t="s">
        <v>222</v>
      </c>
      <c r="B87" s="256" t="s">
        <v>223</v>
      </c>
      <c r="G87" s="257">
        <v>8</v>
      </c>
    </row>
    <row r="88" spans="1:7">
      <c r="A88" s="258" t="s">
        <v>224</v>
      </c>
      <c r="B88" s="258" t="s">
        <v>225</v>
      </c>
      <c r="G88" s="257">
        <v>8</v>
      </c>
    </row>
    <row r="89" spans="1:7">
      <c r="A89" s="258" t="s">
        <v>226</v>
      </c>
      <c r="B89" s="258" t="s">
        <v>227</v>
      </c>
      <c r="G89" s="257">
        <v>9</v>
      </c>
    </row>
    <row r="90" spans="1:7">
      <c r="A90" s="258" t="s">
        <v>228</v>
      </c>
      <c r="B90" s="258" t="s">
        <v>229</v>
      </c>
      <c r="G90" s="257">
        <v>9</v>
      </c>
    </row>
    <row r="91" spans="1:7">
      <c r="A91" s="256" t="s">
        <v>230</v>
      </c>
      <c r="B91" s="256" t="s">
        <v>231</v>
      </c>
      <c r="G91" s="257">
        <v>10</v>
      </c>
    </row>
    <row r="92" spans="1:7">
      <c r="A92" s="258" t="s">
        <v>232</v>
      </c>
      <c r="B92" s="258" t="s">
        <v>233</v>
      </c>
      <c r="G92" s="257">
        <v>10</v>
      </c>
    </row>
    <row r="93" spans="1:7">
      <c r="A93" s="258" t="s">
        <v>234</v>
      </c>
      <c r="B93" s="258" t="s">
        <v>235</v>
      </c>
      <c r="G93" s="257">
        <v>11</v>
      </c>
    </row>
    <row r="94" spans="1:7">
      <c r="A94" s="258" t="s">
        <v>236</v>
      </c>
      <c r="B94" s="258" t="s">
        <v>237</v>
      </c>
      <c r="G94" s="257">
        <v>13</v>
      </c>
    </row>
    <row r="95" spans="1:7" ht="15.75" customHeight="1">
      <c r="A95" s="258" t="s">
        <v>238</v>
      </c>
      <c r="B95" s="258" t="s">
        <v>239</v>
      </c>
      <c r="G95" s="257">
        <v>14</v>
      </c>
    </row>
    <row r="97" spans="1:7" ht="16">
      <c r="A97" s="141"/>
    </row>
    <row r="98" spans="1:7" ht="17" thickBot="1">
      <c r="A98" s="362" t="s">
        <v>207</v>
      </c>
      <c r="B98" s="362"/>
      <c r="C98" s="362"/>
      <c r="D98" s="362"/>
      <c r="E98" s="362"/>
      <c r="F98" s="362"/>
      <c r="G98" s="362"/>
    </row>
    <row r="99" spans="1:7" ht="15" thickBot="1">
      <c r="A99" s="365"/>
      <c r="B99" s="366"/>
      <c r="C99" s="366"/>
      <c r="D99" s="366"/>
      <c r="E99" s="366"/>
      <c r="F99" s="366"/>
      <c r="G99" s="367"/>
    </row>
    <row r="100" spans="1:7" ht="16.5" customHeight="1" thickTop="1">
      <c r="A100" s="368" t="s">
        <v>240</v>
      </c>
      <c r="B100" s="369"/>
      <c r="C100" s="370"/>
      <c r="D100" s="370"/>
      <c r="E100" s="370"/>
      <c r="F100" s="370"/>
      <c r="G100" s="371"/>
    </row>
    <row r="101" spans="1:7" ht="87.75" customHeight="1" thickBot="1">
      <c r="A101" s="372" t="s">
        <v>241</v>
      </c>
      <c r="B101" s="373"/>
      <c r="C101" s="373"/>
      <c r="D101" s="373"/>
      <c r="E101" s="373"/>
      <c r="F101" s="373"/>
      <c r="G101" s="374"/>
    </row>
    <row r="102" spans="1:7" ht="15.75" customHeight="1" thickTop="1">
      <c r="A102" s="259" t="s">
        <v>313</v>
      </c>
      <c r="B102" s="260"/>
      <c r="C102" s="260"/>
      <c r="D102" s="375"/>
      <c r="E102" s="375"/>
      <c r="F102" s="375"/>
      <c r="G102" s="376"/>
    </row>
    <row r="103" spans="1:7" ht="15" customHeight="1">
      <c r="A103" s="360" t="s">
        <v>314</v>
      </c>
      <c r="B103" s="361"/>
      <c r="C103" s="261"/>
      <c r="D103" s="355"/>
      <c r="E103" s="355"/>
      <c r="F103" s="355"/>
      <c r="G103" s="356"/>
    </row>
    <row r="104" spans="1:7" ht="15" customHeight="1">
      <c r="A104" s="262" t="s">
        <v>315</v>
      </c>
      <c r="B104" s="263"/>
      <c r="C104" s="263"/>
      <c r="D104" s="355"/>
      <c r="E104" s="355"/>
      <c r="F104" s="355"/>
      <c r="G104" s="356"/>
    </row>
    <row r="105" spans="1:7" ht="15" customHeight="1">
      <c r="A105" s="360" t="s">
        <v>316</v>
      </c>
      <c r="B105" s="361"/>
      <c r="C105" s="263"/>
      <c r="D105" s="355"/>
      <c r="E105" s="355"/>
      <c r="F105" s="355"/>
      <c r="G105" s="356"/>
    </row>
    <row r="106" spans="1:7" ht="15" customHeight="1">
      <c r="A106" s="360" t="s">
        <v>317</v>
      </c>
      <c r="B106" s="361"/>
      <c r="C106" s="263"/>
      <c r="D106" s="355"/>
      <c r="E106" s="355"/>
      <c r="F106" s="355"/>
      <c r="G106" s="356"/>
    </row>
    <row r="107" spans="1:7" ht="15" customHeight="1">
      <c r="A107" s="262" t="s">
        <v>318</v>
      </c>
      <c r="B107" s="263"/>
      <c r="C107" s="263"/>
      <c r="D107" s="355"/>
      <c r="E107" s="355"/>
      <c r="F107" s="355"/>
      <c r="G107" s="356"/>
    </row>
    <row r="108" spans="1:7" ht="15">
      <c r="A108" s="262" t="s">
        <v>319</v>
      </c>
      <c r="B108" s="263"/>
      <c r="C108" s="263"/>
      <c r="D108" s="355"/>
      <c r="E108" s="355"/>
      <c r="F108" s="355"/>
      <c r="G108" s="356"/>
    </row>
    <row r="109" spans="1:7" ht="15" thickBot="1">
      <c r="A109" s="142"/>
      <c r="B109" s="143" t="s">
        <v>161</v>
      </c>
      <c r="C109" s="144" t="s">
        <v>162</v>
      </c>
      <c r="D109" s="144" t="s">
        <v>242</v>
      </c>
      <c r="E109" s="144" t="s">
        <v>243</v>
      </c>
      <c r="F109" s="144" t="s">
        <v>244</v>
      </c>
      <c r="G109" s="145" t="s">
        <v>96</v>
      </c>
    </row>
    <row r="110" spans="1:7" ht="15" thickBot="1">
      <c r="A110" s="146" t="s">
        <v>245</v>
      </c>
      <c r="B110" s="147">
        <f>SUM(B111,B112,B116)</f>
        <v>3775000.8717999998</v>
      </c>
      <c r="C110" s="147">
        <f t="shared" ref="C110:F110" si="0">SUM(C111,C112,C116)</f>
        <v>3698500.8717999998</v>
      </c>
      <c r="D110" s="147">
        <f t="shared" si="0"/>
        <v>0</v>
      </c>
      <c r="E110" s="147">
        <f t="shared" si="0"/>
        <v>0</v>
      </c>
      <c r="F110" s="147">
        <f t="shared" si="0"/>
        <v>0</v>
      </c>
      <c r="G110" s="147">
        <f>SUM(B110:F110)</f>
        <v>7473501.7435999997</v>
      </c>
    </row>
    <row r="111" spans="1:7" ht="15" thickBot="1">
      <c r="A111" s="148" t="s">
        <v>246</v>
      </c>
      <c r="B111" s="149">
        <f>'1.Var.Fin'!B17</f>
        <v>0</v>
      </c>
      <c r="C111" s="149">
        <f>'1.Var.Fin'!C17</f>
        <v>0</v>
      </c>
      <c r="D111" s="149">
        <f>'1.Var.Fin'!D17</f>
        <v>0</v>
      </c>
      <c r="E111" s="149">
        <f>'1.Var.Fin'!E17</f>
        <v>0</v>
      </c>
      <c r="F111" s="149">
        <f>'1.Var.Fin'!F17</f>
        <v>0</v>
      </c>
      <c r="G111" s="147">
        <f>SUM(B111:F111)</f>
        <v>0</v>
      </c>
    </row>
    <row r="112" spans="1:7" ht="15" thickBot="1">
      <c r="A112" s="148" t="s">
        <v>301</v>
      </c>
      <c r="B112" s="150">
        <f>'1.Var.Fin'!B11</f>
        <v>3698500.8717999998</v>
      </c>
      <c r="C112" s="151">
        <f>'1.Var.Fin'!C11</f>
        <v>0</v>
      </c>
      <c r="D112" s="151">
        <f>'1.Var.Fin'!D11</f>
        <v>0</v>
      </c>
      <c r="E112" s="151">
        <f>'1.Var.Fin'!E11</f>
        <v>0</v>
      </c>
      <c r="F112" s="151">
        <f>'1.Var.Fin'!F11</f>
        <v>0</v>
      </c>
      <c r="G112" s="147">
        <f>SUM(B112:F112)</f>
        <v>3698500.8717999998</v>
      </c>
    </row>
    <row r="113" spans="1:7" ht="15" thickBot="1">
      <c r="A113" s="148" t="s">
        <v>247</v>
      </c>
      <c r="B113" s="150">
        <f>'1.Var.Fin'!B14</f>
        <v>12</v>
      </c>
      <c r="C113" s="150">
        <f>'1.Var.Fin'!C14</f>
        <v>12</v>
      </c>
      <c r="D113" s="150">
        <f>'1.Var.Fin'!D14</f>
        <v>12</v>
      </c>
      <c r="E113" s="150">
        <f>'1.Var.Fin'!E14</f>
        <v>0</v>
      </c>
      <c r="F113" s="150">
        <f>'1.Var.Fin'!F14</f>
        <v>0</v>
      </c>
      <c r="G113" s="150">
        <f>AVERAGE(B113:F113)</f>
        <v>7.2</v>
      </c>
    </row>
    <row r="114" spans="1:7" ht="15" thickBot="1">
      <c r="A114" s="148" t="s">
        <v>248</v>
      </c>
      <c r="B114" s="152">
        <f>'1.Var.Fin'!B13</f>
        <v>0.14000000000000001</v>
      </c>
      <c r="C114" s="152">
        <f>'1.Var.Fin'!C13</f>
        <v>0.14000000000000001</v>
      </c>
      <c r="D114" s="151">
        <f>'1.Var.Fin'!D13</f>
        <v>0.14000000000000001</v>
      </c>
      <c r="E114" s="151">
        <f>'1.Var.Fin'!E13</f>
        <v>0</v>
      </c>
      <c r="F114" s="151">
        <f>'1.Var.Fin'!F13</f>
        <v>0</v>
      </c>
      <c r="G114" s="150">
        <f t="shared" ref="G114:G115" si="1">AVERAGE(B114:F114)</f>
        <v>8.4000000000000005E-2</v>
      </c>
    </row>
    <row r="115" spans="1:7" ht="15" thickBot="1">
      <c r="A115" s="148" t="s">
        <v>17</v>
      </c>
      <c r="B115" s="150">
        <f>IF(B112&gt;1,IFERROR((B112*(B114/12)/((1-(1+(B114/12))^(-(B113))))),""),0)</f>
        <v>332077.7327622209</v>
      </c>
      <c r="C115" s="150">
        <f t="shared" ref="C115:F115" si="2">IF(C112&gt;1,IFERROR((C112*(C114/12)/((1-(1+(C114/12))^(-(C113))))),""),0)</f>
        <v>0</v>
      </c>
      <c r="D115" s="150">
        <f t="shared" si="2"/>
        <v>0</v>
      </c>
      <c r="E115" s="150">
        <f t="shared" si="2"/>
        <v>0</v>
      </c>
      <c r="F115" s="150">
        <f t="shared" si="2"/>
        <v>0</v>
      </c>
      <c r="G115" s="150">
        <f t="shared" si="1"/>
        <v>66415.546552444182</v>
      </c>
    </row>
    <row r="116" spans="1:7" ht="15" thickBot="1">
      <c r="A116" s="148" t="s">
        <v>249</v>
      </c>
      <c r="B116" s="150">
        <f>'1.Var.Fin'!B5</f>
        <v>76500</v>
      </c>
      <c r="C116" s="150">
        <f>'1.Var.Fin'!C5</f>
        <v>3698500.8717999998</v>
      </c>
      <c r="D116" s="150">
        <f>'1.Var.Fin'!D5</f>
        <v>0</v>
      </c>
      <c r="E116" s="150">
        <f>'1.Var.Fin'!E5</f>
        <v>0</v>
      </c>
      <c r="F116" s="150">
        <f>'1.Var.Fin'!F5</f>
        <v>0</v>
      </c>
      <c r="G116" s="147">
        <f>SUM(B116:F116)</f>
        <v>3775000.8717999998</v>
      </c>
    </row>
    <row r="117" spans="1:7" ht="15" thickBot="1">
      <c r="A117" s="148" t="s">
        <v>250</v>
      </c>
      <c r="B117" s="153">
        <f>ROUNDUP('1.Var.Fin'!B8/12,0)</f>
        <v>3</v>
      </c>
      <c r="C117" s="153">
        <f>ROUNDUP('1.Var.Fin'!C8/12,0)</f>
        <v>3</v>
      </c>
      <c r="D117" s="153">
        <f>ROUNDUP('1.Var.Fin'!D8/12,0)</f>
        <v>3</v>
      </c>
      <c r="E117" s="153">
        <f>ROUNDUP('1.Var.Fin'!E8/12,0)</f>
        <v>0</v>
      </c>
      <c r="F117" s="153">
        <f>ROUNDUP('1.Var.Fin'!F8/12,0)</f>
        <v>0</v>
      </c>
      <c r="G117" s="150">
        <f>AVERAGE(B117:F117)</f>
        <v>1.8</v>
      </c>
    </row>
    <row r="118" spans="1:7" ht="15" thickBot="1">
      <c r="A118" s="148" t="s">
        <v>248</v>
      </c>
      <c r="B118" s="152">
        <f>'1.Var.Fin'!B7</f>
        <v>0.09</v>
      </c>
      <c r="C118" s="152">
        <f>'1.Var.Fin'!C7</f>
        <v>0.11</v>
      </c>
      <c r="D118" s="150">
        <f>'1.Var.Fin'!D7</f>
        <v>0.1</v>
      </c>
      <c r="E118" s="150">
        <f>'1.Var.Fin'!E7</f>
        <v>0</v>
      </c>
      <c r="F118" s="150">
        <f>'1.Var.Fin'!F7</f>
        <v>0</v>
      </c>
      <c r="G118" s="150">
        <f t="shared" ref="G118:G119" si="3">AVERAGE(B118:F118)</f>
        <v>6.0000000000000012E-2</v>
      </c>
    </row>
    <row r="119" spans="1:7" ht="15" thickBot="1">
      <c r="A119" s="148" t="s">
        <v>251</v>
      </c>
      <c r="B119" s="150">
        <f>IF(B116&gt;1,IFERROR((B116*(B118)/((1-(1+(B118))^(-(B117))))),""),0)</f>
        <v>30221.68893566394</v>
      </c>
      <c r="C119" s="150">
        <f t="shared" ref="C119:F119" si="4">IF(C116&gt;1,IFERROR((C116*(C118)/((1-(1+(C118))^(-(C117))))),""),0)</f>
        <v>1513474.8947669738</v>
      </c>
      <c r="D119" s="150">
        <f t="shared" si="4"/>
        <v>0</v>
      </c>
      <c r="E119" s="150">
        <f t="shared" si="4"/>
        <v>0</v>
      </c>
      <c r="F119" s="150">
        <f t="shared" si="4"/>
        <v>0</v>
      </c>
      <c r="G119" s="150">
        <f t="shared" si="3"/>
        <v>308739.31674052757</v>
      </c>
    </row>
    <row r="120" spans="1:7" ht="15" thickBot="1">
      <c r="A120" s="148" t="s">
        <v>252</v>
      </c>
      <c r="B120" s="154" t="e">
        <f>'10.Vente'!P12</f>
        <v>#VALUE!</v>
      </c>
      <c r="C120" s="154" t="e">
        <f>'10.Vente'!Q12</f>
        <v>#VALUE!</v>
      </c>
      <c r="D120" s="154" t="e">
        <f>'10.Vente'!R12</f>
        <v>#VALUE!</v>
      </c>
      <c r="E120" s="154">
        <f>'10.Vente'!S12</f>
        <v>0</v>
      </c>
      <c r="F120" s="154">
        <f>'10.Vente'!T12</f>
        <v>0</v>
      </c>
      <c r="G120" s="154" t="e">
        <f>SUM(B120:F120)</f>
        <v>#VALUE!</v>
      </c>
    </row>
    <row r="121" spans="1:7" ht="15" thickBot="1">
      <c r="A121" s="148" t="s">
        <v>253</v>
      </c>
      <c r="B121" s="155" t="e">
        <f>'16.CR'!C43</f>
        <v>#VALUE!</v>
      </c>
      <c r="C121" s="155" t="e">
        <f>'16.CR'!D43</f>
        <v>#VALUE!</v>
      </c>
      <c r="D121" s="155" t="e">
        <f>'16.CR'!E43</f>
        <v>#VALUE!</v>
      </c>
      <c r="E121" s="155">
        <f>'16.CR'!F43</f>
        <v>0</v>
      </c>
      <c r="F121" s="155">
        <f>'16.CR'!G43</f>
        <v>0</v>
      </c>
      <c r="G121" s="150" t="e">
        <f>SUM(B121:F121)</f>
        <v>#VALUE!</v>
      </c>
    </row>
    <row r="122" spans="1:7" ht="15" thickBot="1">
      <c r="A122" s="156" t="s">
        <v>72</v>
      </c>
      <c r="B122" s="157" t="e">
        <f>'16.CR'!C44</f>
        <v>#VALUE!</v>
      </c>
      <c r="C122" s="157" t="e">
        <f>'16.CR'!D44</f>
        <v>#VALUE!</v>
      </c>
      <c r="D122" s="157" t="e">
        <f>'16.CR'!E44</f>
        <v>#VALUE!</v>
      </c>
      <c r="E122" s="157">
        <f>'16.CR'!F44</f>
        <v>0</v>
      </c>
      <c r="F122" s="157">
        <f>'16.CR'!G44</f>
        <v>0</v>
      </c>
      <c r="G122" s="157" t="e">
        <f>SUM(B122:F122)</f>
        <v>#VALUE!</v>
      </c>
    </row>
    <row r="123" spans="1:7" ht="16" thickTop="1" thickBot="1">
      <c r="A123" s="237" t="s">
        <v>302</v>
      </c>
      <c r="B123" s="238"/>
      <c r="C123" s="238"/>
      <c r="D123" s="238"/>
      <c r="E123" s="238"/>
      <c r="F123" s="238"/>
      <c r="G123" s="239" t="e">
        <f>'18.Van'!F11</f>
        <v>#VALUE!</v>
      </c>
    </row>
    <row r="124" spans="1:7" ht="15" thickBot="1">
      <c r="A124" s="237" t="s">
        <v>303</v>
      </c>
      <c r="B124" s="238"/>
      <c r="C124" s="238"/>
      <c r="D124" s="238"/>
      <c r="E124" s="238"/>
      <c r="F124" s="238"/>
      <c r="G124" s="240" t="e">
        <f>'18.Van'!F12</f>
        <v>#VALUE!</v>
      </c>
    </row>
    <row r="125" spans="1:7">
      <c r="A125" s="264"/>
      <c r="B125" s="261"/>
      <c r="C125" s="261"/>
      <c r="D125" s="261"/>
      <c r="E125" s="261"/>
      <c r="F125" s="261"/>
      <c r="G125" s="261"/>
    </row>
    <row r="126" spans="1:7" ht="16">
      <c r="A126" s="342" t="s">
        <v>320</v>
      </c>
      <c r="B126" s="342"/>
      <c r="C126" s="342"/>
      <c r="D126" s="342"/>
      <c r="E126" s="342"/>
      <c r="F126" s="342"/>
      <c r="G126" s="342"/>
    </row>
    <row r="127" spans="1:7" ht="43.5" customHeight="1">
      <c r="A127" s="346" t="s">
        <v>254</v>
      </c>
      <c r="B127" s="346"/>
      <c r="C127" s="346"/>
      <c r="D127" s="346"/>
      <c r="E127" s="346"/>
      <c r="F127" s="346"/>
      <c r="G127" s="346"/>
    </row>
    <row r="128" spans="1:7" ht="30.75" customHeight="1">
      <c r="A128" s="346"/>
      <c r="B128" s="346"/>
      <c r="C128" s="346"/>
      <c r="D128" s="346"/>
      <c r="E128" s="346"/>
      <c r="F128" s="346"/>
      <c r="G128" s="346"/>
    </row>
    <row r="129" spans="1:7" ht="32.25" customHeight="1">
      <c r="A129" s="342" t="s">
        <v>321</v>
      </c>
      <c r="B129" s="342"/>
      <c r="C129" s="342"/>
      <c r="D129" s="342"/>
      <c r="E129" s="342"/>
      <c r="F129" s="342"/>
      <c r="G129" s="342"/>
    </row>
    <row r="130" spans="1:7" ht="16">
      <c r="A130" s="342" t="s">
        <v>322</v>
      </c>
      <c r="B130" s="342"/>
      <c r="C130" s="342"/>
      <c r="D130" s="342"/>
      <c r="E130" s="342"/>
      <c r="F130" s="342"/>
      <c r="G130" s="342"/>
    </row>
    <row r="131" spans="1:7" ht="16">
      <c r="A131" s="265"/>
      <c r="B131" s="261"/>
      <c r="C131" s="261"/>
      <c r="D131" s="261"/>
      <c r="E131" s="261"/>
      <c r="F131" s="261"/>
      <c r="G131" s="261"/>
    </row>
    <row r="132" spans="1:7" ht="16">
      <c r="A132" s="363" t="s">
        <v>310</v>
      </c>
      <c r="B132" s="363"/>
      <c r="C132" s="363"/>
      <c r="D132" s="363"/>
      <c r="E132" s="261"/>
      <c r="F132" s="261"/>
      <c r="G132" s="261"/>
    </row>
    <row r="133" spans="1:7" ht="17" thickBot="1">
      <c r="A133" s="265"/>
      <c r="B133" s="261"/>
      <c r="C133" s="261"/>
      <c r="D133" s="261"/>
      <c r="E133" s="261"/>
      <c r="F133" s="261"/>
      <c r="G133" s="261"/>
    </row>
    <row r="134" spans="1:7" ht="15" thickBot="1">
      <c r="A134" s="364" t="str">
        <f>'7.Bud.Inv.'!C3</f>
        <v>Immobilisation</v>
      </c>
      <c r="B134" s="364"/>
      <c r="C134" s="201" t="s">
        <v>305</v>
      </c>
      <c r="D134" s="201" t="s">
        <v>39</v>
      </c>
      <c r="E134" s="201" t="s">
        <v>69</v>
      </c>
      <c r="F134" s="201" t="s">
        <v>70</v>
      </c>
      <c r="G134" s="201" t="s">
        <v>70</v>
      </c>
    </row>
    <row r="135" spans="1:7" ht="15.5" customHeight="1" thickBot="1">
      <c r="A135" s="357" t="str">
        <f>'7.Bud.Inv.'!C4</f>
        <v>Aménagement et batiments</v>
      </c>
      <c r="B135" s="357"/>
      <c r="C135" s="266" t="str">
        <f>'5.Inv'!F4</f>
        <v>{var_48}</v>
      </c>
      <c r="D135" s="266" t="str">
        <f>'5.Inv'!E4</f>
        <v>{var_31}</v>
      </c>
      <c r="E135" s="266" t="e">
        <f>'7.Bud.Inv.'!Q4</f>
        <v>#VALUE!</v>
      </c>
      <c r="F135" s="266" t="e">
        <f>'7.Bud.Inv.'!S4</f>
        <v>#VALUE!</v>
      </c>
      <c r="G135" s="266">
        <f>'7.Bud.Inv.'!T4</f>
        <v>0</v>
      </c>
    </row>
    <row r="136" spans="1:7" ht="17" thickBot="1">
      <c r="A136" s="357" t="str">
        <f>'7.Bud.Inv.'!C6</f>
        <v>Aménagement entrepôt</v>
      </c>
      <c r="B136" s="357"/>
      <c r="C136" s="267" t="str">
        <f>'5.Inv'!F5</f>
        <v>{var_49}</v>
      </c>
      <c r="D136" s="267" t="str">
        <f>'5.Inv'!E5</f>
        <v>{var_32}</v>
      </c>
      <c r="E136" s="267" t="e">
        <f>'7.Bud.Inv.'!Q6</f>
        <v>#VALUE!</v>
      </c>
      <c r="F136" s="268" t="e">
        <f>'7.Bud.Inv.'!S6</f>
        <v>#VALUE!</v>
      </c>
      <c r="G136" s="268">
        <f>'7.Bud.Inv.'!T6</f>
        <v>0</v>
      </c>
    </row>
    <row r="137" spans="1:7" ht="17" thickBot="1">
      <c r="A137" s="357" t="str">
        <f>'7.Bud.Inv.'!C7</f>
        <v>Véhicules de liaison</v>
      </c>
      <c r="B137" s="357"/>
      <c r="C137" s="267" t="str">
        <f>'5.Inv'!F6</f>
        <v>{var_50}</v>
      </c>
      <c r="D137" s="267" t="str">
        <f>'5.Inv'!E6</f>
        <v>{var_33}</v>
      </c>
      <c r="E137" s="267" t="e">
        <f>'7.Bud.Inv.'!Q7</f>
        <v>#VALUE!</v>
      </c>
      <c r="F137" s="268" t="e">
        <f>'7.Bud.Inv.'!S7</f>
        <v>#VALUE!</v>
      </c>
      <c r="G137" s="268">
        <f>'7.Bud.Inv.'!T7</f>
        <v>0</v>
      </c>
    </row>
    <row r="138" spans="1:7" ht="17" thickBot="1">
      <c r="A138" s="357" t="str">
        <f>'7.Bud.Inv.'!C8</f>
        <v>Véhicules de bureau</v>
      </c>
      <c r="B138" s="357"/>
      <c r="C138" s="267" t="str">
        <f>'5.Inv'!F7</f>
        <v>{var_51}</v>
      </c>
      <c r="D138" s="267" t="str">
        <f>'5.Inv'!E7</f>
        <v>{var_34}</v>
      </c>
      <c r="E138" s="267" t="e">
        <f>'7.Bud.Inv.'!Q8</f>
        <v>#VALUE!</v>
      </c>
      <c r="F138" s="268" t="e">
        <f>'7.Bud.Inv.'!S8</f>
        <v>#VALUE!</v>
      </c>
      <c r="G138" s="268">
        <f>'7.Bud.Inv.'!T8</f>
        <v>0</v>
      </c>
    </row>
    <row r="139" spans="1:7" ht="17" thickBot="1">
      <c r="A139" s="357" t="str">
        <f>'7.Bud.Inv.'!C9</f>
        <v>Véhicule administratif</v>
      </c>
      <c r="B139" s="357"/>
      <c r="C139" s="267" t="str">
        <f>'5.Inv'!F8</f>
        <v>{var_52}</v>
      </c>
      <c r="D139" s="267" t="str">
        <f>'5.Inv'!E8</f>
        <v>{var_35}</v>
      </c>
      <c r="E139" s="267" t="e">
        <f>'7.Bud.Inv.'!Q9</f>
        <v>#VALUE!</v>
      </c>
      <c r="F139" s="268" t="e">
        <f>'7.Bud.Inv.'!S9</f>
        <v>#VALUE!</v>
      </c>
      <c r="G139" s="268">
        <f>'7.Bud.Inv.'!T9</f>
        <v>0</v>
      </c>
    </row>
    <row r="140" spans="1:7" ht="17" thickBot="1">
      <c r="A140" s="357" t="str">
        <f>'7.Bud.Inv.'!C10</f>
        <v>Bureau (Fauteuil + table)</v>
      </c>
      <c r="B140" s="357"/>
      <c r="C140" s="267" t="str">
        <f>'5.Inv'!F9</f>
        <v>{var_53}</v>
      </c>
      <c r="D140" s="267" t="str">
        <f>'5.Inv'!E9</f>
        <v>{var_36}</v>
      </c>
      <c r="E140" s="267" t="e">
        <f>'7.Bud.Inv.'!Q10</f>
        <v>#VALUE!</v>
      </c>
      <c r="F140" s="268" t="e">
        <f>'7.Bud.Inv.'!S10</f>
        <v>#VALUE!</v>
      </c>
      <c r="G140" s="268">
        <f>'7.Bud.Inv.'!T10</f>
        <v>0</v>
      </c>
    </row>
    <row r="141" spans="1:7" ht="15.5" customHeight="1" thickBot="1">
      <c r="A141" s="357" t="str">
        <f>'7.Bud.Inv.'!C11</f>
        <v>Mobilier et matériel de bureau</v>
      </c>
      <c r="B141" s="357"/>
      <c r="C141" s="267" t="str">
        <f>'5.Inv'!F10</f>
        <v>{var_54}</v>
      </c>
      <c r="D141" s="267" t="str">
        <f>'5.Inv'!E10</f>
        <v>{var_37}</v>
      </c>
      <c r="E141" s="267" t="e">
        <f>'7.Bud.Inv.'!Q11</f>
        <v>#VALUE!</v>
      </c>
      <c r="F141" s="268" t="e">
        <f>'7.Bud.Inv.'!S11</f>
        <v>#VALUE!</v>
      </c>
      <c r="G141" s="268">
        <f>'7.Bud.Inv.'!T11</f>
        <v>0</v>
      </c>
    </row>
    <row r="142" spans="1:7" ht="15.5" customHeight="1" thickBot="1">
      <c r="A142" s="357" t="str">
        <f>'7.Bud.Inv.'!C12</f>
        <v>Bureau (Fauteuil + table)</v>
      </c>
      <c r="B142" s="357"/>
      <c r="C142" s="267" t="str">
        <f>'5.Inv'!F11</f>
        <v>{var_55}</v>
      </c>
      <c r="D142" s="267" t="str">
        <f>'5.Inv'!E11</f>
        <v>{var_38}</v>
      </c>
      <c r="E142" s="267" t="e">
        <f>'7.Bud.Inv.'!Q12</f>
        <v>#VALUE!</v>
      </c>
      <c r="F142" s="268" t="e">
        <f>'7.Bud.Inv.'!S12</f>
        <v>#VALUE!</v>
      </c>
      <c r="G142" s="268">
        <f>'7.Bud.Inv.'!T12</f>
        <v>0</v>
      </c>
    </row>
    <row r="143" spans="1:7" ht="17" thickBot="1">
      <c r="A143" s="357" t="str">
        <f>'7.Bud.Inv.'!C13</f>
        <v>Ordinateur PRO</v>
      </c>
      <c r="B143" s="357"/>
      <c r="C143" s="267" t="str">
        <f>'5.Inv'!F12</f>
        <v>{var_56}</v>
      </c>
      <c r="D143" s="267" t="str">
        <f>'5.Inv'!E12</f>
        <v>{var_39}</v>
      </c>
      <c r="E143" s="267" t="e">
        <f>'7.Bud.Inv.'!Q13</f>
        <v>#VALUE!</v>
      </c>
      <c r="F143" s="268" t="e">
        <f>'7.Bud.Inv.'!S13</f>
        <v>#VALUE!</v>
      </c>
      <c r="G143" s="268">
        <f>'7.Bud.Inv.'!T13</f>
        <v>0</v>
      </c>
    </row>
    <row r="144" spans="1:7" ht="17" thickBot="1">
      <c r="A144" s="357" t="str">
        <f>'7.Bud.Inv.'!C15</f>
        <v>CANON EOS 80 D + objectif 18-135mm IS USM</v>
      </c>
      <c r="B144" s="357"/>
      <c r="C144" s="267" t="str">
        <f>'5.Inv'!F13</f>
        <v>{var_57}</v>
      </c>
      <c r="D144" s="267" t="str">
        <f>'5.Inv'!E13</f>
        <v>{var_40}</v>
      </c>
      <c r="E144" s="267" t="e">
        <f>'7.Bud.Inv.'!Q15</f>
        <v>#VALUE!</v>
      </c>
      <c r="F144" s="268" t="e">
        <f>'7.Bud.Inv.'!S15</f>
        <v>#VALUE!</v>
      </c>
      <c r="G144" s="268">
        <f>'7.Bud.Inv.'!T15</f>
        <v>0</v>
      </c>
    </row>
    <row r="145" spans="1:7" ht="17" thickBot="1">
      <c r="A145" s="357" t="str">
        <f>'7.Bud.Inv.'!C16</f>
        <v>Boîtier Canon EOS 5D Mark IV</v>
      </c>
      <c r="B145" s="357"/>
      <c r="C145" s="267" t="str">
        <f>'5.Inv'!F14</f>
        <v>{var_58}</v>
      </c>
      <c r="D145" s="267" t="str">
        <f>'5.Inv'!E14</f>
        <v>{var_41}</v>
      </c>
      <c r="E145" s="267" t="e">
        <f>'7.Bud.Inv.'!Q16</f>
        <v>#VALUE!</v>
      </c>
      <c r="F145" s="268" t="e">
        <f>'7.Bud.Inv.'!S16</f>
        <v>#VALUE!</v>
      </c>
      <c r="G145" s="268">
        <f>'7.Bud.Inv.'!T16</f>
        <v>0</v>
      </c>
    </row>
    <row r="146" spans="1:7" ht="15.5" customHeight="1" thickBot="1">
      <c r="A146" s="357" t="str">
        <f>'7.Bud.Inv.'!C17</f>
        <v>Photocopieuse + Imprimante</v>
      </c>
      <c r="B146" s="357"/>
      <c r="C146" s="267" t="str">
        <f>'5.Inv'!F16</f>
        <v>{var_60}</v>
      </c>
      <c r="D146" s="267" t="str">
        <f>'5.Inv'!E16</f>
        <v>{var_43}</v>
      </c>
      <c r="E146" s="267" t="e">
        <f>'7.Bud.Inv.'!Q17</f>
        <v>#VALUE!</v>
      </c>
      <c r="F146" s="268" t="e">
        <f>'7.Bud.Inv.'!S17</f>
        <v>#VALUE!</v>
      </c>
      <c r="G146" s="268">
        <f>'7.Bud.Inv.'!T17</f>
        <v>0</v>
      </c>
    </row>
    <row r="147" spans="1:7" ht="17" thickBot="1">
      <c r="A147" s="357" t="str">
        <f>'7.Bud.Inv.'!C18</f>
        <v>Caution et avance loyer</v>
      </c>
      <c r="B147" s="357"/>
      <c r="C147" s="267" t="str">
        <f>'5.Inv'!F17</f>
        <v>{var_61}</v>
      </c>
      <c r="D147" s="267" t="str">
        <f>'5.Inv'!E17</f>
        <v>{var_44}</v>
      </c>
      <c r="E147" s="267" t="e">
        <f>'7.Bud.Inv.'!Q18</f>
        <v>#VALUE!</v>
      </c>
      <c r="F147" s="268" t="e">
        <f>'7.Bud.Inv.'!S18</f>
        <v>#VALUE!</v>
      </c>
      <c r="G147" s="268">
        <f>'7.Bud.Inv.'!T18</f>
        <v>0</v>
      </c>
    </row>
    <row r="148" spans="1:7" ht="15.5" customHeight="1" thickBot="1">
      <c r="A148" s="357" t="str">
        <f>'7.Bud.Inv.'!C19</f>
        <v>Branchement Téléphone et internet</v>
      </c>
      <c r="B148" s="357"/>
      <c r="C148" s="267" t="str">
        <f>'5.Inv'!F18</f>
        <v>{var_62}</v>
      </c>
      <c r="D148" s="267" t="str">
        <f>'5.Inv'!E18</f>
        <v>{var_45}</v>
      </c>
      <c r="E148" s="267" t="e">
        <f>'7.Bud.Inv.'!Q19</f>
        <v>#VALUE!</v>
      </c>
      <c r="F148" s="268" t="e">
        <f>'7.Bud.Inv.'!S19</f>
        <v>#VALUE!</v>
      </c>
      <c r="G148" s="268">
        <f>'7.Bud.Inv.'!T19</f>
        <v>0</v>
      </c>
    </row>
    <row r="149" spans="1:7" ht="15.5" customHeight="1" thickBot="1">
      <c r="A149" s="357" t="str">
        <f>'7.Bud.Inv.'!C20</f>
        <v>Branchement CIE et SODECI</v>
      </c>
      <c r="B149" s="357"/>
      <c r="C149" s="267" t="str">
        <f>'5.Inv'!F19</f>
        <v>{var_63}</v>
      </c>
      <c r="D149" s="267" t="str">
        <f>'5.Inv'!E19</f>
        <v>{var_46}</v>
      </c>
      <c r="E149" s="267" t="e">
        <f>'7.Bud.Inv.'!Q20</f>
        <v>#VALUE!</v>
      </c>
      <c r="F149" s="268" t="e">
        <f>'7.Bud.Inv.'!S20</f>
        <v>#VALUE!</v>
      </c>
      <c r="G149" s="268">
        <f>'7.Bud.Inv.'!T20</f>
        <v>0</v>
      </c>
    </row>
    <row r="150" spans="1:7" ht="17" thickBot="1">
      <c r="A150" s="357" t="str">
        <f>'7.Bud.Inv.'!C21</f>
        <v>Bail foncier</v>
      </c>
      <c r="B150" s="357"/>
      <c r="C150" s="267" t="str">
        <f>'5.Inv'!F20</f>
        <v>{var_64}</v>
      </c>
      <c r="D150" s="267" t="str">
        <f>'5.Inv'!E20</f>
        <v>{var_47}</v>
      </c>
      <c r="E150" s="267" t="e">
        <f>'7.Bud.Inv.'!Q21</f>
        <v>#VALUE!</v>
      </c>
      <c r="F150" s="268" t="e">
        <f>'7.Bud.Inv.'!S21</f>
        <v>#VALUE!</v>
      </c>
      <c r="G150" s="268">
        <f>'7.Bud.Inv.'!T21</f>
        <v>0</v>
      </c>
    </row>
    <row r="151" spans="1:7" ht="16">
      <c r="A151" s="265"/>
      <c r="B151" s="261"/>
      <c r="C151" s="261"/>
      <c r="D151" s="261"/>
      <c r="E151" s="261"/>
      <c r="F151" s="261"/>
      <c r="G151" s="261"/>
    </row>
    <row r="152" spans="1:7" ht="16">
      <c r="A152" s="342" t="s">
        <v>323</v>
      </c>
      <c r="B152" s="342"/>
      <c r="C152" s="342"/>
      <c r="D152" s="342"/>
      <c r="E152" s="342"/>
      <c r="F152" s="342"/>
      <c r="G152" s="342"/>
    </row>
    <row r="153" spans="1:7" ht="16">
      <c r="A153" s="363" t="s">
        <v>349</v>
      </c>
      <c r="B153" s="363"/>
      <c r="C153" s="363"/>
      <c r="D153" s="363"/>
      <c r="E153" s="363"/>
      <c r="F153" s="363"/>
      <c r="G153" s="363"/>
    </row>
    <row r="154" spans="1:7" ht="16">
      <c r="A154" s="363" t="s">
        <v>311</v>
      </c>
      <c r="B154" s="363"/>
      <c r="C154" s="363"/>
      <c r="D154" s="363"/>
      <c r="E154" s="363"/>
      <c r="F154" s="363"/>
      <c r="G154" s="363"/>
    </row>
    <row r="155" spans="1:7" ht="16">
      <c r="A155" s="265"/>
      <c r="B155" s="261"/>
      <c r="C155" s="261"/>
      <c r="D155" s="261"/>
      <c r="E155" s="261"/>
      <c r="F155" s="261"/>
      <c r="G155" s="261"/>
    </row>
    <row r="156" spans="1:7" ht="16">
      <c r="A156" s="265"/>
      <c r="B156" s="261"/>
      <c r="C156" s="261"/>
      <c r="D156" s="261"/>
      <c r="E156" s="261"/>
      <c r="F156" s="261"/>
      <c r="G156" s="261"/>
    </row>
    <row r="157" spans="1:7" ht="16">
      <c r="A157" s="342" t="s">
        <v>324</v>
      </c>
      <c r="B157" s="342"/>
      <c r="C157" s="342"/>
      <c r="D157" s="342"/>
      <c r="E157" s="342"/>
      <c r="F157" s="342"/>
      <c r="G157" s="342"/>
    </row>
    <row r="158" spans="1:7" ht="33.75" customHeight="1">
      <c r="A158" s="346" t="s">
        <v>254</v>
      </c>
      <c r="B158" s="346"/>
      <c r="C158" s="346"/>
      <c r="D158" s="346"/>
      <c r="E158" s="346"/>
      <c r="F158" s="346"/>
      <c r="G158" s="346"/>
    </row>
    <row r="159" spans="1:7" ht="17.25" customHeight="1">
      <c r="A159" s="269"/>
      <c r="B159" s="269"/>
      <c r="C159" s="269"/>
      <c r="D159" s="269"/>
      <c r="E159" s="269"/>
      <c r="F159" s="269"/>
      <c r="G159" s="269"/>
    </row>
    <row r="160" spans="1:7" ht="16">
      <c r="A160" s="342" t="s">
        <v>325</v>
      </c>
      <c r="B160" s="342"/>
      <c r="C160" s="342"/>
      <c r="D160" s="342"/>
      <c r="E160" s="342"/>
      <c r="F160" s="342"/>
      <c r="G160" s="342"/>
    </row>
    <row r="161" spans="1:7" ht="33.75" customHeight="1">
      <c r="A161" s="346" t="s">
        <v>254</v>
      </c>
      <c r="B161" s="346"/>
      <c r="C161" s="346"/>
      <c r="D161" s="346"/>
      <c r="E161" s="346"/>
      <c r="F161" s="346"/>
      <c r="G161" s="346"/>
    </row>
    <row r="162" spans="1:7" ht="26.25" customHeight="1">
      <c r="A162" s="346"/>
      <c r="B162" s="346"/>
      <c r="C162" s="346"/>
      <c r="D162" s="346"/>
      <c r="E162" s="346"/>
      <c r="F162" s="346"/>
      <c r="G162" s="346"/>
    </row>
    <row r="163" spans="1:7" ht="20.25" customHeight="1">
      <c r="A163" s="346"/>
      <c r="B163" s="346"/>
      <c r="C163" s="346"/>
      <c r="D163" s="346"/>
      <c r="E163" s="346"/>
      <c r="F163" s="346"/>
      <c r="G163" s="346"/>
    </row>
    <row r="164" spans="1:7">
      <c r="A164" s="270"/>
      <c r="B164" s="261"/>
      <c r="C164" s="261"/>
      <c r="D164" s="261"/>
      <c r="E164" s="261"/>
      <c r="F164" s="261"/>
      <c r="G164" s="261"/>
    </row>
    <row r="165" spans="1:7" ht="16">
      <c r="A165" s="342" t="s">
        <v>326</v>
      </c>
      <c r="B165" s="342"/>
      <c r="C165" s="342"/>
      <c r="D165" s="342"/>
      <c r="E165" s="342"/>
      <c r="F165" s="342"/>
      <c r="G165" s="342"/>
    </row>
    <row r="166" spans="1:7">
      <c r="A166" s="271"/>
      <c r="B166" s="272"/>
      <c r="C166" s="272"/>
      <c r="D166" s="272"/>
      <c r="E166" s="272"/>
      <c r="F166" s="272"/>
      <c r="G166" s="272"/>
    </row>
    <row r="167" spans="1:7" ht="16">
      <c r="A167" s="336" t="s">
        <v>327</v>
      </c>
      <c r="B167" s="336"/>
      <c r="C167" s="336"/>
      <c r="D167" s="336"/>
      <c r="E167" s="336"/>
      <c r="F167" s="336"/>
      <c r="G167" s="336"/>
    </row>
    <row r="168" spans="1:7" ht="17" thickBot="1">
      <c r="A168" s="273"/>
      <c r="B168" s="272"/>
      <c r="C168" s="272"/>
      <c r="D168" s="272"/>
      <c r="E168" s="272"/>
      <c r="F168" s="272"/>
      <c r="G168" s="272"/>
    </row>
    <row r="169" spans="1:7" ht="15" thickBot="1">
      <c r="A169" s="347" t="s">
        <v>255</v>
      </c>
      <c r="B169" s="348"/>
      <c r="C169" s="348"/>
      <c r="D169" s="349"/>
      <c r="E169" s="208" t="s">
        <v>304</v>
      </c>
      <c r="F169" s="196" t="s">
        <v>305</v>
      </c>
      <c r="G169" s="196" t="s">
        <v>96</v>
      </c>
    </row>
    <row r="170" spans="1:7" ht="15" thickBot="1">
      <c r="A170" s="350"/>
      <c r="B170" s="351"/>
      <c r="C170" s="351"/>
      <c r="D170" s="352"/>
      <c r="E170" s="158"/>
      <c r="F170" s="158"/>
      <c r="G170" s="158"/>
    </row>
    <row r="171" spans="1:7" ht="15" thickBot="1">
      <c r="A171" s="343" t="s">
        <v>60</v>
      </c>
      <c r="B171" s="344"/>
      <c r="C171" s="344"/>
      <c r="D171" s="345"/>
      <c r="E171" s="159" t="str">
        <f>E173</f>
        <v>3 mois</v>
      </c>
      <c r="F171" s="159"/>
      <c r="G171" s="159"/>
    </row>
    <row r="172" spans="1:7" ht="15" thickBot="1">
      <c r="A172" s="343"/>
      <c r="B172" s="344"/>
      <c r="C172" s="344"/>
      <c r="D172" s="345"/>
      <c r="E172" s="160"/>
      <c r="F172" s="158"/>
      <c r="G172" s="158"/>
    </row>
    <row r="173" spans="1:7" ht="15" thickBot="1">
      <c r="A173" s="343" t="s">
        <v>308</v>
      </c>
      <c r="B173" s="344"/>
      <c r="C173" s="344"/>
      <c r="D173" s="345"/>
      <c r="E173" s="161" t="str">
        <f>_xlfn.CONCAT(E174," mois")</f>
        <v>3 mois</v>
      </c>
      <c r="F173" s="162">
        <f>SUM(F174:F180)</f>
        <v>6200</v>
      </c>
      <c r="G173" s="163">
        <f>SUM(G174:G180)</f>
        <v>18600</v>
      </c>
    </row>
    <row r="174" spans="1:7" ht="15" thickBot="1">
      <c r="A174" s="164" t="str">
        <f>'21.BFR'!B4</f>
        <v>Achat de Tenue de luxe Homme</v>
      </c>
      <c r="B174" s="165"/>
      <c r="C174" s="165"/>
      <c r="D174" s="166"/>
      <c r="E174" s="167">
        <f>'21.BFR'!E4</f>
        <v>3</v>
      </c>
      <c r="F174" s="168">
        <f>'21.BFR'!D4</f>
        <v>6000</v>
      </c>
      <c r="G174" s="168">
        <f>'21.BFR'!G4</f>
        <v>18000</v>
      </c>
    </row>
    <row r="175" spans="1:7" ht="15" thickBot="1">
      <c r="A175" s="164">
        <f>'21.BFR'!B9</f>
        <v>0</v>
      </c>
      <c r="B175" s="165"/>
      <c r="C175" s="165"/>
      <c r="D175" s="166"/>
      <c r="E175" s="167">
        <f>'21.BFR'!E9</f>
        <v>3</v>
      </c>
      <c r="F175" s="168">
        <f>'21.BFR'!D9</f>
        <v>0</v>
      </c>
      <c r="G175" s="168">
        <f>'21.BFR'!G9</f>
        <v>0</v>
      </c>
    </row>
    <row r="176" spans="1:7" ht="15" thickBot="1">
      <c r="A176" s="164">
        <f>'21.BFR'!B10</f>
        <v>0</v>
      </c>
      <c r="B176" s="165"/>
      <c r="C176" s="165"/>
      <c r="D176" s="166"/>
      <c r="E176" s="167">
        <f>'21.BFR'!E10</f>
        <v>3</v>
      </c>
      <c r="F176" s="168">
        <f>'21.BFR'!D10</f>
        <v>0</v>
      </c>
      <c r="G176" s="168">
        <f>'21.BFR'!G10</f>
        <v>0</v>
      </c>
    </row>
    <row r="177" spans="1:7" ht="15" thickBot="1">
      <c r="A177" s="164">
        <f>'21.BFR'!B11</f>
        <v>0</v>
      </c>
      <c r="B177" s="165"/>
      <c r="C177" s="165"/>
      <c r="D177" s="166"/>
      <c r="E177" s="167">
        <f>'21.BFR'!E11</f>
        <v>3</v>
      </c>
      <c r="F177" s="168">
        <f>'21.BFR'!D11</f>
        <v>0</v>
      </c>
      <c r="G177" s="168">
        <f>'21.BFR'!G11</f>
        <v>0</v>
      </c>
    </row>
    <row r="178" spans="1:7" ht="15" thickBot="1">
      <c r="A178" s="164">
        <f>'21.BFR'!B12</f>
        <v>0</v>
      </c>
      <c r="B178" s="165"/>
      <c r="C178" s="165"/>
      <c r="D178" s="166"/>
      <c r="E178" s="167">
        <f>'21.BFR'!E12</f>
        <v>3</v>
      </c>
      <c r="F178" s="168">
        <f>'21.BFR'!D12</f>
        <v>0</v>
      </c>
      <c r="G178" s="168">
        <f>'21.BFR'!G12</f>
        <v>0</v>
      </c>
    </row>
    <row r="179" spans="1:7" ht="15" thickBot="1">
      <c r="A179" s="164">
        <f>'21.BFR'!B13</f>
        <v>0</v>
      </c>
      <c r="B179" s="165"/>
      <c r="C179" s="165"/>
      <c r="D179" s="166"/>
      <c r="E179" s="167">
        <f>'21.BFR'!E13</f>
        <v>3</v>
      </c>
      <c r="F179" s="168">
        <f>'21.BFR'!D13</f>
        <v>0</v>
      </c>
      <c r="G179" s="168">
        <f>'21.BFR'!G13</f>
        <v>0</v>
      </c>
    </row>
    <row r="180" spans="1:7" ht="15" thickBot="1">
      <c r="A180" s="164" t="str">
        <f>'21.BFR'!B14</f>
        <v>Logistique Tenue de luxe Homme</v>
      </c>
      <c r="B180" s="165"/>
      <c r="C180" s="165"/>
      <c r="D180" s="166"/>
      <c r="E180" s="167">
        <f>'21.BFR'!E14</f>
        <v>3</v>
      </c>
      <c r="F180" s="168">
        <f>'21.BFR'!D14</f>
        <v>200</v>
      </c>
      <c r="G180" s="168">
        <f>'21.BFR'!G14</f>
        <v>600</v>
      </c>
    </row>
    <row r="181" spans="1:7" ht="15" thickBot="1">
      <c r="A181" s="164">
        <f>'21.BFR'!B26</f>
        <v>0</v>
      </c>
      <c r="B181" s="165"/>
      <c r="C181" s="165"/>
      <c r="D181" s="166"/>
      <c r="E181" s="167">
        <f>'21.BFR'!E26</f>
        <v>3</v>
      </c>
      <c r="F181" s="168">
        <f>'21.BFR'!D26</f>
        <v>0</v>
      </c>
      <c r="G181" s="168">
        <f>'21.BFR'!G26</f>
        <v>0</v>
      </c>
    </row>
    <row r="182" spans="1:7" ht="15" thickBot="1">
      <c r="A182" s="164" t="str">
        <f>'21.BFR'!B27</f>
        <v>Salaire personnel</v>
      </c>
      <c r="B182" s="165"/>
      <c r="C182" s="165"/>
      <c r="D182" s="166"/>
      <c r="E182" s="167">
        <f>'21.BFR'!E27</f>
        <v>3</v>
      </c>
      <c r="F182" s="168">
        <f>'21.BFR'!D27</f>
        <v>0.22</v>
      </c>
      <c r="G182" s="168">
        <f>'21.BFR'!G27</f>
        <v>0.66</v>
      </c>
    </row>
    <row r="183" spans="1:7" ht="15" thickBot="1">
      <c r="A183" s="164" t="str">
        <f>'21.BFR'!B28</f>
        <v>Timbre</v>
      </c>
      <c r="B183" s="165"/>
      <c r="C183" s="165"/>
      <c r="D183" s="166"/>
      <c r="E183" s="167">
        <f>'21.BFR'!E28</f>
        <v>3</v>
      </c>
      <c r="F183" s="168">
        <f>'21.BFR'!D28</f>
        <v>4.7999999999999996E-3</v>
      </c>
      <c r="G183" s="168">
        <f>'21.BFR'!G28</f>
        <v>1.44E-2</v>
      </c>
    </row>
    <row r="184" spans="1:7" ht="15" thickBot="1">
      <c r="A184" s="164" t="str">
        <f>'21.BFR'!B29</f>
        <v>BIC</v>
      </c>
      <c r="B184" s="165"/>
      <c r="C184" s="165"/>
      <c r="D184" s="166"/>
      <c r="E184" s="167">
        <f>'21.BFR'!E29</f>
        <v>3</v>
      </c>
      <c r="F184" s="168">
        <f>'21.BFR'!D29</f>
        <v>3.0700000000000002E-2</v>
      </c>
      <c r="G184" s="168">
        <f>'21.BFR'!G29</f>
        <v>9.2100000000000001E-2</v>
      </c>
    </row>
    <row r="185" spans="1:7" ht="15" thickBot="1">
      <c r="A185" s="164" t="str">
        <f>'21.BFR'!B30</f>
        <v>Sponsoring page réseaux sociaux</v>
      </c>
      <c r="B185" s="165"/>
      <c r="C185" s="165"/>
      <c r="D185" s="166"/>
      <c r="E185" s="167">
        <f>'21.BFR'!E30</f>
        <v>1</v>
      </c>
      <c r="F185" s="168">
        <f>'21.BFR'!D30</f>
        <v>1900000</v>
      </c>
      <c r="G185" s="168">
        <f>'21.BFR'!G30</f>
        <v>1900000</v>
      </c>
    </row>
    <row r="186" spans="1:7" ht="15" thickBot="1">
      <c r="A186" s="164" t="str">
        <f>'21.BFR'!B31</f>
        <v>Frais administration</v>
      </c>
      <c r="B186" s="165"/>
      <c r="C186" s="165"/>
      <c r="D186" s="166"/>
      <c r="E186" s="167">
        <f>'21.BFR'!E31</f>
        <v>3</v>
      </c>
      <c r="F186" s="168">
        <f>'21.BFR'!D31</f>
        <v>25000</v>
      </c>
      <c r="G186" s="168">
        <f>'21.BFR'!G31</f>
        <v>75000</v>
      </c>
    </row>
    <row r="187" spans="1:7" ht="15" thickBot="1">
      <c r="A187" s="164" t="str">
        <f>'21.BFR'!B32</f>
        <v>Eau</v>
      </c>
      <c r="B187" s="165"/>
      <c r="C187" s="165"/>
      <c r="D187" s="166"/>
      <c r="E187" s="167">
        <f>'21.BFR'!E32</f>
        <v>3</v>
      </c>
      <c r="F187" s="168">
        <f>'21.BFR'!D32</f>
        <v>82500</v>
      </c>
      <c r="G187" s="168">
        <f>'21.BFR'!G32</f>
        <v>247500</v>
      </c>
    </row>
    <row r="188" spans="1:7" ht="15" thickBot="1">
      <c r="A188" s="164" t="str">
        <f>'21.BFR'!B33</f>
        <v>Carburant</v>
      </c>
      <c r="B188" s="165"/>
      <c r="C188" s="165"/>
      <c r="D188" s="166"/>
      <c r="E188" s="167">
        <f>'21.BFR'!E33</f>
        <v>3</v>
      </c>
      <c r="F188" s="168">
        <f>'21.BFR'!D33</f>
        <v>50000</v>
      </c>
      <c r="G188" s="168">
        <f>'21.BFR'!G33</f>
        <v>150000</v>
      </c>
    </row>
    <row r="189" spans="1:7" ht="15" thickBot="1">
      <c r="A189" s="164" t="str">
        <f>'21.BFR'!B34</f>
        <v>Telephone / Internet</v>
      </c>
      <c r="B189" s="165"/>
      <c r="C189" s="165"/>
      <c r="D189" s="166"/>
      <c r="E189" s="167">
        <f>'21.BFR'!E34</f>
        <v>3</v>
      </c>
      <c r="F189" s="168">
        <f>'21.BFR'!D34</f>
        <v>50000</v>
      </c>
      <c r="G189" s="168">
        <f>'21.BFR'!G34</f>
        <v>150000</v>
      </c>
    </row>
    <row r="190" spans="1:7" ht="15" thickBot="1">
      <c r="A190" s="164">
        <f>'21.BFR'!B35</f>
        <v>0</v>
      </c>
      <c r="B190" s="165"/>
      <c r="C190" s="165"/>
      <c r="D190" s="166"/>
      <c r="E190" s="167">
        <f>'21.BFR'!E35</f>
        <v>3</v>
      </c>
      <c r="F190" s="168">
        <f>'21.BFR'!D35</f>
        <v>0</v>
      </c>
      <c r="G190" s="168">
        <f>'21.BFR'!G35</f>
        <v>0</v>
      </c>
    </row>
    <row r="191" spans="1:7" ht="15" thickBot="1">
      <c r="A191" s="164" t="str">
        <f>'21.BFR'!B36</f>
        <v>Loyer</v>
      </c>
      <c r="B191" s="165"/>
      <c r="C191" s="165"/>
      <c r="D191" s="166"/>
      <c r="E191" s="167">
        <f>'21.BFR'!E36</f>
        <v>0</v>
      </c>
      <c r="F191" s="168">
        <f>'21.BFR'!D36</f>
        <v>250000</v>
      </c>
      <c r="G191" s="168">
        <f>'21.BFR'!G36</f>
        <v>0</v>
      </c>
    </row>
    <row r="192" spans="1:7" ht="15" thickBot="1">
      <c r="A192" s="164" t="str">
        <f>'21.BFR'!B37</f>
        <v>Assurance voiture</v>
      </c>
      <c r="B192" s="165"/>
      <c r="C192" s="165"/>
      <c r="D192" s="166"/>
      <c r="E192" s="167">
        <f>'21.BFR'!E37</f>
        <v>3</v>
      </c>
      <c r="F192" s="168">
        <f>'21.BFR'!D37</f>
        <v>12000</v>
      </c>
      <c r="G192" s="168">
        <f>'21.BFR'!G37</f>
        <v>36000</v>
      </c>
    </row>
    <row r="193" spans="1:7" ht="15" thickBot="1">
      <c r="A193" s="164" t="str">
        <f>'21.BFR'!B38</f>
        <v>Frais Infogérance</v>
      </c>
      <c r="B193" s="165"/>
      <c r="C193" s="165"/>
      <c r="D193" s="166"/>
      <c r="E193" s="167">
        <f>'21.BFR'!E38</f>
        <v>3</v>
      </c>
      <c r="F193" s="168">
        <f>'21.BFR'!D38</f>
        <v>380000</v>
      </c>
      <c r="G193" s="168">
        <f>'21.BFR'!G38</f>
        <v>1140000</v>
      </c>
    </row>
    <row r="194" spans="1:7" ht="15" thickBot="1">
      <c r="A194" s="164">
        <f>'21.BFR'!B39</f>
        <v>0</v>
      </c>
      <c r="B194" s="165"/>
      <c r="C194" s="165"/>
      <c r="D194" s="166"/>
      <c r="E194" s="167">
        <f>'21.BFR'!E39</f>
        <v>3</v>
      </c>
      <c r="F194" s="168">
        <f>'21.BFR'!D39</f>
        <v>0</v>
      </c>
      <c r="G194" s="168">
        <f>'21.BFR'!G39</f>
        <v>0</v>
      </c>
    </row>
    <row r="195" spans="1:7" ht="15" thickBot="1">
      <c r="A195" s="164">
        <f>'21.BFR'!B40</f>
        <v>0</v>
      </c>
      <c r="B195" s="165"/>
      <c r="C195" s="165"/>
      <c r="D195" s="166"/>
      <c r="E195" s="167">
        <f>'21.BFR'!E40</f>
        <v>3</v>
      </c>
      <c r="F195" s="168">
        <f>'21.BFR'!D40</f>
        <v>0</v>
      </c>
      <c r="G195" s="168">
        <f>'21.BFR'!G40</f>
        <v>0</v>
      </c>
    </row>
    <row r="196" spans="1:7" ht="15" thickBot="1">
      <c r="A196" s="164" t="str">
        <f>'21.BFR'!B41</f>
        <v>Amortissement équipement.</v>
      </c>
      <c r="B196" s="165"/>
      <c r="C196" s="165"/>
      <c r="D196" s="166"/>
      <c r="E196" s="167">
        <f>'21.BFR'!E41</f>
        <v>3</v>
      </c>
      <c r="F196" s="168">
        <f>'21.BFR'!D41</f>
        <v>3.5099999999999999E-2</v>
      </c>
      <c r="G196" s="168">
        <f>'21.BFR'!G41</f>
        <v>0.1053</v>
      </c>
    </row>
    <row r="197" spans="1:7" ht="15" thickBot="1">
      <c r="A197" s="169" t="str">
        <f>[1]CmptRes!A81</f>
        <v>TOTAL</v>
      </c>
      <c r="B197" s="170"/>
      <c r="C197" s="170"/>
      <c r="D197" s="171"/>
      <c r="E197" s="160"/>
      <c r="F197" s="168"/>
      <c r="G197" s="172">
        <f>[1]CmptRes!D81</f>
        <v>33407053</v>
      </c>
    </row>
    <row r="198" spans="1:7" ht="16">
      <c r="A198" s="273"/>
      <c r="B198" s="272"/>
      <c r="C198" s="272"/>
      <c r="D198" s="272"/>
      <c r="E198" s="272"/>
      <c r="F198" s="272"/>
      <c r="G198" s="272"/>
    </row>
    <row r="199" spans="1:7" ht="17" thickBot="1">
      <c r="A199" s="377" t="s">
        <v>328</v>
      </c>
      <c r="B199" s="377"/>
      <c r="C199" s="377"/>
      <c r="D199" s="377"/>
      <c r="E199" s="377"/>
      <c r="F199" s="377"/>
      <c r="G199" s="377"/>
    </row>
    <row r="200" spans="1:7" ht="29" thickBot="1">
      <c r="A200" s="173" t="s">
        <v>256</v>
      </c>
      <c r="B200" s="208" t="s">
        <v>306</v>
      </c>
      <c r="C200" s="196" t="s">
        <v>257</v>
      </c>
      <c r="D200" s="196" t="s">
        <v>96</v>
      </c>
      <c r="E200" s="196" t="s">
        <v>307</v>
      </c>
      <c r="F200" s="272"/>
      <c r="G200" s="272"/>
    </row>
    <row r="201" spans="1:7" ht="15" thickBot="1">
      <c r="A201" s="187" t="s">
        <v>258</v>
      </c>
      <c r="B201" s="174"/>
      <c r="C201" s="174"/>
      <c r="D201" s="174"/>
      <c r="E201" s="174"/>
      <c r="F201" s="272"/>
      <c r="G201" s="272"/>
    </row>
    <row r="202" spans="1:7" ht="15" thickBot="1">
      <c r="A202" s="175" t="s">
        <v>259</v>
      </c>
      <c r="B202" s="241">
        <f ca="1">SUMIF('21.BFR'!$F$3:$F$42,'1.Var.Fin'!$B$18,'21.BFR'!$G$3:$G$41)</f>
        <v>0</v>
      </c>
      <c r="C202" s="241">
        <f ca="1">SUMIF('21.BFR'!$F$3:$F$42,'1.Var.Fin'!$B$18,'21.BFR'!$G$3:$G$41)+SUMIF('21.BFR'!$F$3:$F$42,'1.Var.Fin'!$B$12,'21.BFR'!$G$3:$G$41)</f>
        <v>3698500.8717999998</v>
      </c>
      <c r="D202" s="177">
        <f ca="1">SUM(B202:C202)</f>
        <v>3698500.8717999998</v>
      </c>
      <c r="E202" s="178">
        <f ca="1">D202/$D$204</f>
        <v>1</v>
      </c>
      <c r="F202" s="272"/>
      <c r="G202" s="272"/>
    </row>
    <row r="203" spans="1:7" ht="15" thickBot="1">
      <c r="A203" s="180" t="s">
        <v>215</v>
      </c>
      <c r="B203" s="241">
        <f>SUMIF('7.Bud.Inv.'!$D$3:$D$22,'1.Var.Fin'!$B$18,'7.Bud.Inv.'!$Q$3:$Q$22)</f>
        <v>0</v>
      </c>
      <c r="C203" s="181">
        <f>SUMIF('7.Bud.Inv.'!$D$3:$D$22,'1.Var.Fin'!$B$6,'7.Bud.Inv.'!$Q$3:$Q$22)+SUMIF('7.Bud.Inv.'!$D$3:$D$22,'1.Var.Fin'!$B$12,'7.Bud.Inv.'!$Q$3:$Q$22)</f>
        <v>0</v>
      </c>
      <c r="D203" s="177">
        <f>SUM(B203:C203)</f>
        <v>0</v>
      </c>
      <c r="E203" s="182">
        <f t="shared" ref="E203:E204" ca="1" si="5">D203/$D$204</f>
        <v>0</v>
      </c>
      <c r="F203" s="272"/>
      <c r="G203" s="272"/>
    </row>
    <row r="204" spans="1:7" s="124" customFormat="1" ht="15" thickBot="1">
      <c r="A204" s="184" t="s">
        <v>260</v>
      </c>
      <c r="B204" s="185">
        <f ca="1">SUM(B202:B203)</f>
        <v>0</v>
      </c>
      <c r="C204" s="185">
        <f t="shared" ref="C204:D204" ca="1" si="6">SUM(C202:C203)</f>
        <v>3698500.8717999998</v>
      </c>
      <c r="D204" s="185">
        <f t="shared" ca="1" si="6"/>
        <v>3698500.8717999998</v>
      </c>
      <c r="E204" s="186">
        <f t="shared" ca="1" si="5"/>
        <v>1</v>
      </c>
      <c r="F204" s="274"/>
      <c r="G204" s="274"/>
    </row>
    <row r="205" spans="1:7" ht="15" thickBot="1">
      <c r="A205" s="187" t="s">
        <v>261</v>
      </c>
      <c r="B205" s="176"/>
      <c r="C205" s="176"/>
      <c r="D205" s="183"/>
      <c r="E205" s="179"/>
      <c r="F205" s="272"/>
      <c r="G205" s="272"/>
    </row>
    <row r="206" spans="1:7" ht="15" thickBot="1">
      <c r="A206" s="180" t="s">
        <v>262</v>
      </c>
      <c r="B206" s="181">
        <f>+'4.Cal.Amo.AI'!B4</f>
        <v>0</v>
      </c>
      <c r="C206" s="181">
        <f>'3.Cal.Amo.LT'!B4</f>
        <v>76500</v>
      </c>
      <c r="D206" s="242">
        <f>SUM(B206:C206)</f>
        <v>76500</v>
      </c>
      <c r="E206" s="182">
        <f>D206/$D$208</f>
        <v>2.0264895982268525E-2</v>
      </c>
      <c r="F206" s="272"/>
      <c r="G206" s="272"/>
    </row>
    <row r="207" spans="1:7" ht="15" thickBot="1">
      <c r="A207" s="180" t="s">
        <v>263</v>
      </c>
      <c r="B207" s="181">
        <f>+'4.Cal.Amo.AI'!B4</f>
        <v>0</v>
      </c>
      <c r="C207" s="181">
        <f>'2.Cal.Amo.CT'!B4</f>
        <v>3698500.8717999998</v>
      </c>
      <c r="D207" s="177">
        <f>SUM(B207:C207)</f>
        <v>3698500.8717999998</v>
      </c>
      <c r="E207" s="182">
        <f>D207/$D$208</f>
        <v>0.97973510401773145</v>
      </c>
      <c r="F207" s="272"/>
      <c r="G207" s="272"/>
    </row>
    <row r="208" spans="1:7" ht="15" thickBot="1">
      <c r="A208" s="184" t="s">
        <v>264</v>
      </c>
      <c r="B208" s="185">
        <f>SUM(B206:B207)</f>
        <v>0</v>
      </c>
      <c r="C208" s="185">
        <f t="shared" ref="C208" si="7">SUM(C206:C207)</f>
        <v>3775000.8717999998</v>
      </c>
      <c r="D208" s="185">
        <f t="shared" ref="D208" si="8">SUM(D206:D207)</f>
        <v>3775000.8717999998</v>
      </c>
      <c r="E208" s="186">
        <f>D208/$D$208</f>
        <v>1</v>
      </c>
      <c r="F208" s="272"/>
      <c r="G208" s="272"/>
    </row>
    <row r="209" spans="1:7" ht="15" thickBot="1">
      <c r="A209" s="187" t="s">
        <v>265</v>
      </c>
      <c r="B209" s="188">
        <f>B208/$D$208</f>
        <v>0</v>
      </c>
      <c r="C209" s="188">
        <f>C208/$D$208</f>
        <v>1</v>
      </c>
      <c r="D209" s="188">
        <f>D208/$D$208</f>
        <v>1</v>
      </c>
      <c r="E209" s="189"/>
      <c r="F209" s="272"/>
      <c r="G209" s="272"/>
    </row>
    <row r="210" spans="1:7" ht="16">
      <c r="A210" s="273"/>
      <c r="B210" s="272"/>
      <c r="C210" s="272"/>
      <c r="D210" s="272"/>
      <c r="E210" s="272"/>
      <c r="F210" s="272"/>
      <c r="G210" s="272"/>
    </row>
    <row r="211" spans="1:7" ht="17" thickBot="1">
      <c r="A211" s="332" t="s">
        <v>329</v>
      </c>
      <c r="B211" s="332"/>
      <c r="C211" s="332"/>
      <c r="D211" s="332"/>
      <c r="E211" s="332"/>
      <c r="F211" s="332"/>
      <c r="G211" s="332"/>
    </row>
    <row r="212" spans="1:7" ht="15" thickBot="1">
      <c r="A212" s="191" t="s">
        <v>266</v>
      </c>
      <c r="B212" s="208" t="s">
        <v>267</v>
      </c>
      <c r="C212" s="208" t="s">
        <v>268</v>
      </c>
      <c r="D212" s="208" t="s">
        <v>269</v>
      </c>
      <c r="E212" s="208" t="s">
        <v>270</v>
      </c>
      <c r="F212" s="208" t="s">
        <v>271</v>
      </c>
      <c r="G212" s="272"/>
    </row>
    <row r="213" spans="1:7" ht="15" thickBot="1">
      <c r="A213" s="192" t="str">
        <f>'10.Vente'!B5</f>
        <v>CA de Tenue de luxe Homme</v>
      </c>
      <c r="B213" s="193" t="e">
        <f>'10.Vente'!P5</f>
        <v>#VALUE!</v>
      </c>
      <c r="C213" s="193" t="e">
        <f>'10.Vente'!Q5</f>
        <v>#VALUE!</v>
      </c>
      <c r="D213" s="193" t="e">
        <f>'10.Vente'!R5</f>
        <v>#VALUE!</v>
      </c>
      <c r="E213" s="193">
        <f>'10.Vente'!S5</f>
        <v>0</v>
      </c>
      <c r="F213" s="193">
        <f>'10.Vente'!T5</f>
        <v>0</v>
      </c>
      <c r="G213" s="272"/>
    </row>
    <row r="214" spans="1:7" ht="15" thickBot="1">
      <c r="A214" s="192">
        <f>'10.Vente'!B9</f>
        <v>0</v>
      </c>
      <c r="B214" s="193">
        <f>'10.Vente'!P9</f>
        <v>0</v>
      </c>
      <c r="C214" s="193">
        <f>'10.Vente'!Q9</f>
        <v>0</v>
      </c>
      <c r="D214" s="193">
        <f>'10.Vente'!R9</f>
        <v>0</v>
      </c>
      <c r="E214" s="193">
        <f>'10.Vente'!S9</f>
        <v>0</v>
      </c>
      <c r="F214" s="193">
        <f>'10.Vente'!T9</f>
        <v>0</v>
      </c>
      <c r="G214" s="272"/>
    </row>
    <row r="215" spans="1:7" ht="15" thickBot="1">
      <c r="A215" s="192">
        <f>'10.Vente'!B10</f>
        <v>0</v>
      </c>
      <c r="B215" s="193">
        <f>'10.Vente'!P10</f>
        <v>0</v>
      </c>
      <c r="C215" s="193">
        <f>'10.Vente'!Q10</f>
        <v>0</v>
      </c>
      <c r="D215" s="193">
        <f>'10.Vente'!R10</f>
        <v>0</v>
      </c>
      <c r="E215" s="193">
        <f>'10.Vente'!S10</f>
        <v>0</v>
      </c>
      <c r="F215" s="193">
        <f>'10.Vente'!T10</f>
        <v>0</v>
      </c>
      <c r="G215" s="272"/>
    </row>
    <row r="216" spans="1:7" ht="15" thickBot="1">
      <c r="A216" s="192">
        <f>'10.Vente'!B11</f>
        <v>0</v>
      </c>
      <c r="B216" s="193">
        <f>'10.Vente'!P11</f>
        <v>0</v>
      </c>
      <c r="C216" s="193">
        <f>'10.Vente'!Q11</f>
        <v>0</v>
      </c>
      <c r="D216" s="193">
        <f>'10.Vente'!R11</f>
        <v>0</v>
      </c>
      <c r="E216" s="193">
        <f>'10.Vente'!S11</f>
        <v>0</v>
      </c>
      <c r="F216" s="193">
        <f>'10.Vente'!T11</f>
        <v>0</v>
      </c>
      <c r="G216" s="272"/>
    </row>
    <row r="217" spans="1:7" ht="15" thickBot="1">
      <c r="A217" s="194" t="str">
        <f>[1]CmptRes!J11</f>
        <v>Recettes</v>
      </c>
      <c r="B217" s="195">
        <f>[1]CmptRes!K11</f>
        <v>244723500</v>
      </c>
      <c r="C217" s="195">
        <f>[1]CmptRes!L11</f>
        <v>244723500</v>
      </c>
      <c r="D217" s="195">
        <f>[1]CmptRes!M11</f>
        <v>269195850.00000006</v>
      </c>
      <c r="E217" s="195">
        <f>[1]CmptRes!N11</f>
        <v>296115435</v>
      </c>
      <c r="F217" s="195">
        <f>[1]CmptRes!O11</f>
        <v>325726978.50000006</v>
      </c>
      <c r="G217" s="272"/>
    </row>
    <row r="218" spans="1:7" ht="15" thickBot="1">
      <c r="A218" s="271"/>
      <c r="B218" s="272"/>
      <c r="C218" s="272"/>
      <c r="D218" s="272"/>
      <c r="E218" s="272"/>
      <c r="F218" s="272"/>
      <c r="G218" s="272"/>
    </row>
    <row r="219" spans="1:7" ht="15" thickBot="1">
      <c r="A219" s="275"/>
      <c r="B219" s="378" t="s">
        <v>330</v>
      </c>
      <c r="C219" s="379"/>
      <c r="D219" s="379"/>
      <c r="E219" s="379"/>
      <c r="F219" s="380"/>
      <c r="G219" s="272"/>
    </row>
    <row r="220" spans="1:7" ht="15" thickBot="1">
      <c r="A220" s="276"/>
      <c r="B220" s="197" t="s">
        <v>272</v>
      </c>
      <c r="C220" s="208" t="s">
        <v>273</v>
      </c>
      <c r="D220" s="208" t="s">
        <v>274</v>
      </c>
      <c r="E220" s="208" t="s">
        <v>275</v>
      </c>
      <c r="F220" s="208" t="s">
        <v>276</v>
      </c>
      <c r="G220" s="272"/>
    </row>
    <row r="221" spans="1:7" ht="15" thickBot="1">
      <c r="A221" s="198" t="str">
        <f>A213</f>
        <v>CA de Tenue de luxe Homme</v>
      </c>
      <c r="B221" s="193">
        <f>'[1]2.1.Hyp'!K8</f>
        <v>7</v>
      </c>
      <c r="C221" s="193">
        <f>'[1]2.1.Hyp'!L8</f>
        <v>7</v>
      </c>
      <c r="D221" s="193">
        <f>'[1]2.1.Hyp'!M8</f>
        <v>7.7000000000000011</v>
      </c>
      <c r="E221" s="193">
        <f>'[1]2.1.Hyp'!N8</f>
        <v>8.4700000000000006</v>
      </c>
      <c r="F221" s="193">
        <f>'[1]2.1.Hyp'!O8</f>
        <v>9.3170000000000019</v>
      </c>
      <c r="G221" s="272"/>
    </row>
    <row r="222" spans="1:7">
      <c r="A222" s="275"/>
      <c r="B222" s="272"/>
      <c r="C222" s="272"/>
      <c r="D222" s="272"/>
      <c r="E222" s="272"/>
      <c r="F222" s="272"/>
      <c r="G222" s="272"/>
    </row>
    <row r="223" spans="1:7" ht="16">
      <c r="A223" s="335" t="s">
        <v>331</v>
      </c>
      <c r="B223" s="335"/>
      <c r="C223" s="335"/>
      <c r="D223" s="335"/>
      <c r="E223" s="335"/>
      <c r="F223" s="335"/>
      <c r="G223" s="335"/>
    </row>
    <row r="224" spans="1:7" ht="16">
      <c r="A224" s="336" t="s">
        <v>332</v>
      </c>
      <c r="B224" s="336"/>
      <c r="C224" s="336"/>
      <c r="D224" s="336"/>
      <c r="E224" s="336"/>
      <c r="F224" s="336"/>
      <c r="G224" s="336"/>
    </row>
    <row r="225" spans="1:7" ht="15" thickBot="1">
      <c r="A225" s="271"/>
      <c r="B225" s="272"/>
      <c r="C225" s="272"/>
      <c r="D225" s="272"/>
      <c r="E225" s="272"/>
      <c r="F225" s="272"/>
      <c r="G225" s="272"/>
    </row>
    <row r="226" spans="1:7" ht="15" thickBot="1">
      <c r="A226" s="199" t="s">
        <v>350</v>
      </c>
      <c r="B226" s="200"/>
      <c r="C226" s="201" t="s">
        <v>267</v>
      </c>
      <c r="D226" s="208" t="s">
        <v>277</v>
      </c>
      <c r="E226" s="208" t="s">
        <v>269</v>
      </c>
      <c r="F226" s="208" t="s">
        <v>270</v>
      </c>
      <c r="G226" s="208" t="s">
        <v>271</v>
      </c>
    </row>
    <row r="227" spans="1:7" ht="21.75" customHeight="1" thickBot="1">
      <c r="A227" s="340" t="str">
        <f>'12.Char.Dir'!B4</f>
        <v>Achat de Tenue de luxe Homme</v>
      </c>
      <c r="B227" s="341"/>
      <c r="C227" s="217">
        <f>'12.Char.Dir'!P4</f>
        <v>4320000</v>
      </c>
      <c r="D227" s="217">
        <f>'12.Char.Dir'!Q4</f>
        <v>4752000</v>
      </c>
      <c r="E227" s="217">
        <f>'12.Char.Dir'!R4</f>
        <v>5227200</v>
      </c>
      <c r="F227" s="217">
        <f>'12.Char.Dir'!S4</f>
        <v>0</v>
      </c>
      <c r="G227" s="217">
        <f>'12.Char.Dir'!T4</f>
        <v>0</v>
      </c>
    </row>
    <row r="228" spans="1:7" ht="37.5" customHeight="1" thickBot="1">
      <c r="A228" s="340">
        <f>'12.Char.Dir'!B8</f>
        <v>0</v>
      </c>
      <c r="B228" s="341"/>
      <c r="C228" s="217">
        <f>'12.Char.Dir'!P8</f>
        <v>0</v>
      </c>
      <c r="D228" s="217">
        <f>'12.Char.Dir'!Q8</f>
        <v>0</v>
      </c>
      <c r="E228" s="217">
        <f>'12.Char.Dir'!R8</f>
        <v>0</v>
      </c>
      <c r="F228" s="217">
        <f>'12.Char.Dir'!S8</f>
        <v>0</v>
      </c>
      <c r="G228" s="217">
        <f>'12.Char.Dir'!T8</f>
        <v>0</v>
      </c>
    </row>
    <row r="229" spans="1:7" ht="28.5" customHeight="1" thickBot="1">
      <c r="A229" s="340">
        <f>'12.Char.Dir'!B9</f>
        <v>0</v>
      </c>
      <c r="B229" s="341"/>
      <c r="C229" s="217">
        <f>'12.Char.Dir'!P9</f>
        <v>0</v>
      </c>
      <c r="D229" s="217">
        <f>'12.Char.Dir'!Q9</f>
        <v>0</v>
      </c>
      <c r="E229" s="217">
        <f>'12.Char.Dir'!R9</f>
        <v>0</v>
      </c>
      <c r="F229" s="217">
        <f>'12.Char.Dir'!S9</f>
        <v>0</v>
      </c>
      <c r="G229" s="217">
        <f>'12.Char.Dir'!T9</f>
        <v>0</v>
      </c>
    </row>
    <row r="230" spans="1:7" ht="24" customHeight="1" thickBot="1">
      <c r="A230" s="340">
        <f>'12.Char.Dir'!B10</f>
        <v>0</v>
      </c>
      <c r="B230" s="341"/>
      <c r="C230" s="217">
        <f>'12.Char.Dir'!P10</f>
        <v>0</v>
      </c>
      <c r="D230" s="217">
        <f>'12.Char.Dir'!Q10</f>
        <v>0</v>
      </c>
      <c r="E230" s="217">
        <f>'12.Char.Dir'!R10</f>
        <v>0</v>
      </c>
      <c r="F230" s="217">
        <f>'12.Char.Dir'!S10</f>
        <v>0</v>
      </c>
      <c r="G230" s="217">
        <f>'12.Char.Dir'!T10</f>
        <v>0</v>
      </c>
    </row>
    <row r="231" spans="1:7" ht="27" customHeight="1" thickBot="1">
      <c r="A231" s="340">
        <f>'12.Char.Dir'!B11</f>
        <v>0</v>
      </c>
      <c r="B231" s="341"/>
      <c r="C231" s="217">
        <f>'12.Char.Dir'!P11</f>
        <v>0</v>
      </c>
      <c r="D231" s="217">
        <f>'12.Char.Dir'!Q11</f>
        <v>0</v>
      </c>
      <c r="E231" s="217">
        <f>'12.Char.Dir'!R11</f>
        <v>0</v>
      </c>
      <c r="F231" s="217">
        <f>'12.Char.Dir'!S11</f>
        <v>0</v>
      </c>
      <c r="G231" s="217">
        <f>'12.Char.Dir'!T11</f>
        <v>0</v>
      </c>
    </row>
    <row r="232" spans="1:7" ht="15.75" customHeight="1" thickBot="1">
      <c r="A232" s="340">
        <f>'12.Char.Dir'!B12</f>
        <v>0</v>
      </c>
      <c r="B232" s="341"/>
      <c r="C232" s="217">
        <f>'12.Char.Dir'!P12</f>
        <v>0</v>
      </c>
      <c r="D232" s="217">
        <f>'12.Char.Dir'!Q12</f>
        <v>0</v>
      </c>
      <c r="E232" s="217">
        <f>'12.Char.Dir'!R12</f>
        <v>0</v>
      </c>
      <c r="F232" s="217">
        <f>'12.Char.Dir'!S12</f>
        <v>0</v>
      </c>
      <c r="G232" s="217">
        <f>'12.Char.Dir'!T12</f>
        <v>0</v>
      </c>
    </row>
    <row r="233" spans="1:7" ht="15" thickBot="1">
      <c r="A233" s="340" t="str">
        <f>'12.Char.Dir'!B13</f>
        <v>Logistique Tenue de luxe Homme</v>
      </c>
      <c r="B233" s="341"/>
      <c r="C233" s="217">
        <f>'12.Char.Dir'!P13</f>
        <v>144000</v>
      </c>
      <c r="D233" s="217">
        <f>'12.Char.Dir'!Q13</f>
        <v>158400</v>
      </c>
      <c r="E233" s="217">
        <f>'12.Char.Dir'!R13</f>
        <v>174240</v>
      </c>
      <c r="F233" s="217">
        <f>'12.Char.Dir'!S13</f>
        <v>0</v>
      </c>
      <c r="G233" s="217">
        <f>'12.Char.Dir'!T13</f>
        <v>0</v>
      </c>
    </row>
    <row r="234" spans="1:7" ht="15" thickBot="1">
      <c r="A234" s="340">
        <f>'12.Char.Dir'!B25</f>
        <v>0</v>
      </c>
      <c r="B234" s="341"/>
      <c r="C234" s="217">
        <f>'12.Char.Dir'!P25</f>
        <v>0</v>
      </c>
      <c r="D234" s="217">
        <f>'12.Char.Dir'!Q25</f>
        <v>0</v>
      </c>
      <c r="E234" s="217">
        <f>'12.Char.Dir'!R25</f>
        <v>0</v>
      </c>
      <c r="F234" s="217">
        <f>'12.Char.Dir'!S25</f>
        <v>0</v>
      </c>
      <c r="G234" s="217">
        <f>'12.Char.Dir'!T25</f>
        <v>0</v>
      </c>
    </row>
    <row r="235" spans="1:7" ht="15" thickBot="1">
      <c r="A235" s="340" t="str">
        <f>'12.Char.Dir'!B26</f>
        <v>Salaire personnel</v>
      </c>
      <c r="B235" s="341"/>
      <c r="C235" s="217" t="e">
        <f>'12.Char.Dir'!P26</f>
        <v>#VALUE!</v>
      </c>
      <c r="D235" s="217" t="e">
        <f>'12.Char.Dir'!Q26</f>
        <v>#VALUE!</v>
      </c>
      <c r="E235" s="217" t="e">
        <f>'12.Char.Dir'!R26</f>
        <v>#VALUE!</v>
      </c>
      <c r="F235" s="217">
        <f>'12.Char.Dir'!S26</f>
        <v>0</v>
      </c>
      <c r="G235" s="217">
        <f>'12.Char.Dir'!T26</f>
        <v>0</v>
      </c>
    </row>
    <row r="236" spans="1:7" ht="15" thickBot="1">
      <c r="A236" s="340" t="str">
        <f>'12.Char.Dir'!B27</f>
        <v>Timbre</v>
      </c>
      <c r="B236" s="341"/>
      <c r="C236" s="217" t="e">
        <f>'12.Char.Dir'!P27</f>
        <v>#VALUE!</v>
      </c>
      <c r="D236" s="217" t="e">
        <f>'12.Char.Dir'!Q27</f>
        <v>#VALUE!</v>
      </c>
      <c r="E236" s="217" t="e">
        <f>'12.Char.Dir'!R27</f>
        <v>#VALUE!</v>
      </c>
      <c r="F236" s="217">
        <f>'12.Char.Dir'!S27</f>
        <v>0</v>
      </c>
      <c r="G236" s="217">
        <f>'12.Char.Dir'!T27</f>
        <v>0</v>
      </c>
    </row>
    <row r="237" spans="1:7" ht="15" thickBot="1">
      <c r="A237" s="340" t="str">
        <f>'12.Char.Dir'!B28</f>
        <v>BIC</v>
      </c>
      <c r="B237" s="341"/>
      <c r="C237" s="217" t="e">
        <f>'12.Char.Dir'!P28</f>
        <v>#VALUE!</v>
      </c>
      <c r="D237" s="217" t="e">
        <f>'12.Char.Dir'!Q28</f>
        <v>#VALUE!</v>
      </c>
      <c r="E237" s="217" t="e">
        <f>'12.Char.Dir'!R28</f>
        <v>#VALUE!</v>
      </c>
      <c r="F237" s="217">
        <f>'12.Char.Dir'!S28</f>
        <v>0</v>
      </c>
      <c r="G237" s="217">
        <f>'12.Char.Dir'!T28</f>
        <v>0</v>
      </c>
    </row>
    <row r="238" spans="1:7" ht="15" thickBot="1">
      <c r="A238" s="340" t="str">
        <f>'12.Char.Dir'!B29</f>
        <v>Amortissement équipement.</v>
      </c>
      <c r="B238" s="341"/>
      <c r="C238" s="217" t="e">
        <f>'12.Char.Dir'!P29</f>
        <v>#VALUE!</v>
      </c>
      <c r="D238" s="217" t="e">
        <f>'12.Char.Dir'!Q29</f>
        <v>#VALUE!</v>
      </c>
      <c r="E238" s="217" t="e">
        <f>'12.Char.Dir'!R29</f>
        <v>#VALUE!</v>
      </c>
      <c r="F238" s="217">
        <f>'12.Char.Dir'!S29</f>
        <v>0</v>
      </c>
      <c r="G238" s="217">
        <f>'12.Char.Dir'!T29</f>
        <v>0</v>
      </c>
    </row>
    <row r="239" spans="1:7" ht="15" thickBot="1">
      <c r="A239" s="340" t="str">
        <f>'14.Char.Ind'!B4</f>
        <v>Sponsoring page réseaux sociaux</v>
      </c>
      <c r="B239" s="340"/>
      <c r="C239" s="217">
        <f>'14.Char.Ind'!P4</f>
        <v>1900000</v>
      </c>
      <c r="D239" s="217">
        <f>'14.Char.Ind'!Q4</f>
        <v>1900000</v>
      </c>
      <c r="E239" s="217">
        <f>'14.Char.Ind'!R4</f>
        <v>1900000</v>
      </c>
      <c r="F239" s="217">
        <f>'14.Char.Ind'!S4</f>
        <v>0</v>
      </c>
      <c r="G239" s="217">
        <f>'14.Char.Ind'!T4</f>
        <v>0</v>
      </c>
    </row>
    <row r="240" spans="1:7" ht="15" thickBot="1">
      <c r="A240" s="340" t="str">
        <f>'14.Char.Ind'!B5</f>
        <v>Frais administration</v>
      </c>
      <c r="B240" s="340"/>
      <c r="C240" s="217">
        <f>'14.Char.Ind'!P5</f>
        <v>300000</v>
      </c>
      <c r="D240" s="217">
        <f>'14.Char.Ind'!Q5</f>
        <v>300000</v>
      </c>
      <c r="E240" s="217">
        <f>'14.Char.Ind'!R5</f>
        <v>300000</v>
      </c>
      <c r="F240" s="217">
        <f>'14.Char.Ind'!S5</f>
        <v>0</v>
      </c>
      <c r="G240" s="217">
        <f>'14.Char.Ind'!T5</f>
        <v>0</v>
      </c>
    </row>
    <row r="241" spans="1:7" ht="15" thickBot="1">
      <c r="A241" s="340" t="str">
        <f>'14.Char.Ind'!B6</f>
        <v>Eau</v>
      </c>
      <c r="B241" s="340"/>
      <c r="C241" s="217">
        <f>'14.Char.Ind'!P6</f>
        <v>990000</v>
      </c>
      <c r="D241" s="217">
        <f>'14.Char.Ind'!Q6</f>
        <v>990000</v>
      </c>
      <c r="E241" s="217">
        <f>'14.Char.Ind'!R6</f>
        <v>990000</v>
      </c>
      <c r="F241" s="217">
        <f>'14.Char.Ind'!S6</f>
        <v>0</v>
      </c>
      <c r="G241" s="217">
        <f>'14.Char.Ind'!T6</f>
        <v>0</v>
      </c>
    </row>
    <row r="242" spans="1:7" ht="15" thickBot="1">
      <c r="A242" s="340" t="str">
        <f>'14.Char.Ind'!B7</f>
        <v>Carburant</v>
      </c>
      <c r="B242" s="340"/>
      <c r="C242" s="217">
        <f>'14.Char.Ind'!P7</f>
        <v>600000</v>
      </c>
      <c r="D242" s="217">
        <f>'14.Char.Ind'!Q7</f>
        <v>600000</v>
      </c>
      <c r="E242" s="217">
        <f>'14.Char.Ind'!R7</f>
        <v>600000</v>
      </c>
      <c r="F242" s="217">
        <f>'14.Char.Ind'!S7</f>
        <v>0</v>
      </c>
      <c r="G242" s="217">
        <f>'14.Char.Ind'!T7</f>
        <v>0</v>
      </c>
    </row>
    <row r="243" spans="1:7" ht="15" thickBot="1">
      <c r="A243" s="340" t="str">
        <f>'14.Char.Ind'!B8</f>
        <v>Telephone / Internet</v>
      </c>
      <c r="B243" s="340"/>
      <c r="C243" s="217">
        <f>'14.Char.Ind'!P8</f>
        <v>600000</v>
      </c>
      <c r="D243" s="217">
        <f>'14.Char.Ind'!Q8</f>
        <v>600000</v>
      </c>
      <c r="E243" s="217">
        <f>'14.Char.Ind'!R8</f>
        <v>600000</v>
      </c>
      <c r="F243" s="217">
        <f>'14.Char.Ind'!S8</f>
        <v>0</v>
      </c>
      <c r="G243" s="217">
        <f>'14.Char.Ind'!T8</f>
        <v>0</v>
      </c>
    </row>
    <row r="244" spans="1:7" ht="15" thickBot="1">
      <c r="A244" s="340">
        <f>'14.Char.Ind'!B9</f>
        <v>0</v>
      </c>
      <c r="B244" s="340"/>
      <c r="C244" s="217">
        <f>'14.Char.Ind'!P9</f>
        <v>0</v>
      </c>
      <c r="D244" s="217">
        <f>'14.Char.Ind'!Q9</f>
        <v>0</v>
      </c>
      <c r="E244" s="217">
        <f>'14.Char.Ind'!R9</f>
        <v>0</v>
      </c>
      <c r="F244" s="217">
        <f>'14.Char.Ind'!S9</f>
        <v>0</v>
      </c>
      <c r="G244" s="217">
        <f>'14.Char.Ind'!T9</f>
        <v>0</v>
      </c>
    </row>
    <row r="245" spans="1:7" ht="15" thickBot="1">
      <c r="A245" s="340" t="str">
        <f>'14.Char.Ind'!B10</f>
        <v>Loyer</v>
      </c>
      <c r="B245" s="340"/>
      <c r="C245" s="217">
        <f>'14.Char.Ind'!P10</f>
        <v>3000000</v>
      </c>
      <c r="D245" s="217">
        <f>'14.Char.Ind'!Q10</f>
        <v>3000000</v>
      </c>
      <c r="E245" s="217">
        <f>'14.Char.Ind'!R10</f>
        <v>3000000</v>
      </c>
      <c r="F245" s="217">
        <f>'14.Char.Ind'!S10</f>
        <v>0</v>
      </c>
      <c r="G245" s="217">
        <f>'14.Char.Ind'!T10</f>
        <v>0</v>
      </c>
    </row>
    <row r="246" spans="1:7" ht="15" thickBot="1">
      <c r="A246" s="340" t="str">
        <f>'14.Char.Ind'!B11</f>
        <v>Assurance voiture</v>
      </c>
      <c r="B246" s="340"/>
      <c r="C246" s="217">
        <f>'14.Char.Ind'!P11</f>
        <v>144000</v>
      </c>
      <c r="D246" s="217">
        <f>'14.Char.Ind'!Q11</f>
        <v>144000</v>
      </c>
      <c r="E246" s="217">
        <f>'14.Char.Ind'!R11</f>
        <v>144000</v>
      </c>
      <c r="F246" s="217">
        <f>'14.Char.Ind'!S11</f>
        <v>0</v>
      </c>
      <c r="G246" s="217">
        <f>'14.Char.Ind'!T11</f>
        <v>0</v>
      </c>
    </row>
    <row r="247" spans="1:7" ht="15" thickBot="1">
      <c r="A247" s="340" t="str">
        <f>'14.Char.Ind'!B12</f>
        <v>Frais Infogérance</v>
      </c>
      <c r="B247" s="340"/>
      <c r="C247" s="217">
        <f>'14.Char.Ind'!P12</f>
        <v>380000</v>
      </c>
      <c r="D247" s="217">
        <f>'14.Char.Ind'!Q12</f>
        <v>380000</v>
      </c>
      <c r="E247" s="217">
        <f>'14.Char.Ind'!R12</f>
        <v>380000</v>
      </c>
      <c r="F247" s="217">
        <f>'14.Char.Ind'!S12</f>
        <v>0</v>
      </c>
      <c r="G247" s="217">
        <f>'14.Char.Ind'!T12</f>
        <v>0</v>
      </c>
    </row>
    <row r="248" spans="1:7" ht="15" thickBot="1">
      <c r="A248" s="340">
        <f>'14.Char.Ind'!B13</f>
        <v>0</v>
      </c>
      <c r="B248" s="340"/>
      <c r="C248" s="217">
        <f>'14.Char.Ind'!P13</f>
        <v>0</v>
      </c>
      <c r="D248" s="217">
        <f>'14.Char.Ind'!Q13</f>
        <v>0</v>
      </c>
      <c r="E248" s="217">
        <f>'14.Char.Ind'!R13</f>
        <v>0</v>
      </c>
      <c r="F248" s="217">
        <f>'14.Char.Ind'!S13</f>
        <v>0</v>
      </c>
      <c r="G248" s="217">
        <f>'14.Char.Ind'!T13</f>
        <v>0</v>
      </c>
    </row>
    <row r="249" spans="1:7" ht="15" thickBot="1">
      <c r="A249" s="340">
        <f>'14.Char.Ind'!B14</f>
        <v>0</v>
      </c>
      <c r="B249" s="340"/>
      <c r="C249" s="217">
        <f>'14.Char.Ind'!P14</f>
        <v>0</v>
      </c>
      <c r="D249" s="217" t="e">
        <f>'14.Char.Ind'!Q14</f>
        <v>#VALUE!</v>
      </c>
      <c r="E249" s="217" t="e">
        <f>'14.Char.Ind'!R14</f>
        <v>#VALUE!</v>
      </c>
      <c r="F249" s="217">
        <f>'14.Char.Ind'!S14</f>
        <v>0</v>
      </c>
      <c r="G249" s="217">
        <f>'14.Char.Ind'!T14</f>
        <v>0</v>
      </c>
    </row>
    <row r="250" spans="1:7" ht="15" thickBot="1">
      <c r="A250" s="338" t="str">
        <f>[1]CmptRes!Q11</f>
        <v>Total</v>
      </c>
      <c r="B250" s="339"/>
      <c r="C250" s="202">
        <f>[1]CmptRes!R11</f>
        <v>233899371</v>
      </c>
      <c r="D250" s="202">
        <f>[1]CmptRes!S11</f>
        <v>235399371</v>
      </c>
      <c r="E250" s="202">
        <f>[1]CmptRes!T11</f>
        <v>258667308.10000002</v>
      </c>
      <c r="F250" s="202">
        <f>[1]CmptRes!U11</f>
        <v>284223038.91000003</v>
      </c>
      <c r="G250" s="202">
        <f>[1]CmptRes!V11</f>
        <v>312331092.80100012</v>
      </c>
    </row>
    <row r="251" spans="1:7">
      <c r="A251" s="271"/>
      <c r="B251" s="272"/>
      <c r="C251" s="272"/>
      <c r="D251" s="272"/>
      <c r="E251" s="272"/>
      <c r="F251" s="272"/>
      <c r="G251" s="272"/>
    </row>
    <row r="252" spans="1:7" ht="16">
      <c r="A252" s="332" t="s">
        <v>333</v>
      </c>
      <c r="B252" s="332"/>
      <c r="C252" s="332"/>
      <c r="D252" s="332"/>
      <c r="E252" s="332"/>
      <c r="F252" s="332"/>
      <c r="G252" s="332"/>
    </row>
    <row r="253" spans="1:7" ht="15" thickBot="1">
      <c r="A253" s="271"/>
      <c r="B253" s="272"/>
      <c r="C253" s="272"/>
      <c r="D253" s="272"/>
      <c r="E253" s="272"/>
      <c r="F253" s="272"/>
      <c r="G253" s="272"/>
    </row>
    <row r="254" spans="1:7" ht="15" thickBot="1">
      <c r="A254" s="203" t="s">
        <v>266</v>
      </c>
      <c r="B254" s="208" t="s">
        <v>267</v>
      </c>
      <c r="C254" s="208" t="s">
        <v>268</v>
      </c>
      <c r="D254" s="208" t="s">
        <v>269</v>
      </c>
      <c r="E254" s="208" t="s">
        <v>270</v>
      </c>
      <c r="F254" s="208" t="s">
        <v>271</v>
      </c>
      <c r="G254" s="272"/>
    </row>
    <row r="255" spans="1:7" ht="15" thickBot="1">
      <c r="A255" s="193" t="s">
        <v>278</v>
      </c>
      <c r="B255" s="193">
        <f>'16.CR'!C40</f>
        <v>293316.92134666548</v>
      </c>
      <c r="C255" s="193">
        <f>'16.CR'!D40</f>
        <v>4784.6979957902449</v>
      </c>
      <c r="D255" s="193">
        <f>'16.CR'!E40</f>
        <v>2495.3688112016121</v>
      </c>
      <c r="E255" s="193">
        <f>'16.CR'!F40</f>
        <v>0</v>
      </c>
      <c r="F255" s="193">
        <f>'16.CR'!G40</f>
        <v>0</v>
      </c>
      <c r="G255" s="272"/>
    </row>
    <row r="256" spans="1:7" ht="15" thickBot="1">
      <c r="A256" s="195" t="s">
        <v>96</v>
      </c>
      <c r="B256" s="195">
        <v>4330332</v>
      </c>
      <c r="C256" s="195">
        <v>3606766.1866815849</v>
      </c>
      <c r="D256" s="195">
        <v>2818079.4501645132</v>
      </c>
      <c r="E256" s="195">
        <v>1958410.9073609049</v>
      </c>
      <c r="F256" s="195">
        <v>1021372.1957049717</v>
      </c>
      <c r="G256" s="272"/>
    </row>
    <row r="257" spans="1:7" ht="15" thickBot="1">
      <c r="A257" s="271"/>
      <c r="B257" s="272"/>
      <c r="C257" s="272"/>
      <c r="D257" s="272"/>
      <c r="E257" s="272"/>
      <c r="F257" s="272"/>
      <c r="G257" s="272"/>
    </row>
    <row r="258" spans="1:7" ht="15" thickBot="1">
      <c r="A258" s="203" t="s">
        <v>266</v>
      </c>
      <c r="B258" s="191" t="s">
        <v>267</v>
      </c>
      <c r="C258" s="191" t="s">
        <v>268</v>
      </c>
      <c r="D258" s="191" t="s">
        <v>269</v>
      </c>
      <c r="E258" s="191" t="s">
        <v>270</v>
      </c>
      <c r="F258" s="191" t="s">
        <v>271</v>
      </c>
      <c r="G258" s="272"/>
    </row>
    <row r="259" spans="1:7" ht="15" thickBot="1">
      <c r="A259" s="204" t="s">
        <v>279</v>
      </c>
      <c r="B259" s="205" t="e">
        <f>'12.Char.Dir'!P27+'12.Char.Dir'!P28</f>
        <v>#VALUE!</v>
      </c>
      <c r="C259" s="205" t="e">
        <f>'12.Char.Dir'!Q27+'12.Char.Dir'!Q28</f>
        <v>#VALUE!</v>
      </c>
      <c r="D259" s="205" t="e">
        <f>'12.Char.Dir'!R27+'12.Char.Dir'!R28</f>
        <v>#VALUE!</v>
      </c>
      <c r="E259" s="205">
        <f>'12.Char.Dir'!S27+'12.Char.Dir'!S28</f>
        <v>0</v>
      </c>
      <c r="F259" s="205">
        <f>'12.Char.Dir'!T27+'12.Char.Dir'!T28</f>
        <v>0</v>
      </c>
      <c r="G259" s="272"/>
    </row>
    <row r="260" spans="1:7" ht="15" thickBot="1">
      <c r="A260" s="206" t="s">
        <v>96</v>
      </c>
      <c r="B260" s="207">
        <f>[1]CmptRes!K47</f>
        <v>0</v>
      </c>
      <c r="C260" s="207">
        <f>[1]CmptRes!L47</f>
        <v>0</v>
      </c>
      <c r="D260" s="207">
        <f>[1]CmptRes!M47</f>
        <v>0</v>
      </c>
      <c r="E260" s="207">
        <f>[1]CmptRes!N47</f>
        <v>0</v>
      </c>
      <c r="F260" s="207">
        <f>[1]CmptRes!O47</f>
        <v>0</v>
      </c>
      <c r="G260" s="272"/>
    </row>
    <row r="261" spans="1:7">
      <c r="A261" s="271"/>
      <c r="B261" s="272"/>
      <c r="C261" s="272"/>
      <c r="D261" s="272"/>
      <c r="E261" s="272"/>
      <c r="F261" s="272"/>
      <c r="G261" s="272"/>
    </row>
    <row r="262" spans="1:7" ht="17" thickBot="1">
      <c r="A262" s="332" t="s">
        <v>334</v>
      </c>
      <c r="B262" s="332"/>
      <c r="C262" s="332"/>
      <c r="D262" s="332"/>
      <c r="E262" s="332"/>
      <c r="F262" s="332"/>
      <c r="G262" s="332"/>
    </row>
    <row r="263" spans="1:7" ht="15.75" customHeight="1" thickBot="1">
      <c r="A263" s="333" t="s">
        <v>255</v>
      </c>
      <c r="B263" s="199" t="s">
        <v>16</v>
      </c>
      <c r="C263" s="200"/>
      <c r="D263" s="200"/>
      <c r="E263" s="200"/>
      <c r="F263" s="243"/>
    </row>
    <row r="264" spans="1:7" ht="15" thickBot="1">
      <c r="A264" s="334"/>
      <c r="B264" s="209" t="s">
        <v>267</v>
      </c>
      <c r="C264" s="209" t="s">
        <v>277</v>
      </c>
      <c r="D264" s="209" t="s">
        <v>269</v>
      </c>
      <c r="E264" s="209" t="s">
        <v>270</v>
      </c>
      <c r="F264" s="209" t="s">
        <v>271</v>
      </c>
    </row>
    <row r="265" spans="1:7" ht="15" thickBot="1">
      <c r="A265" s="244" t="str">
        <f>'12.Char.Dir'!B29</f>
        <v>Amortissement équipement.</v>
      </c>
      <c r="B265" s="193" t="e">
        <f>'12.Char.Dir'!P29</f>
        <v>#VALUE!</v>
      </c>
      <c r="C265" s="193" t="e">
        <f>'12.Char.Dir'!Q29</f>
        <v>#VALUE!</v>
      </c>
      <c r="D265" s="193" t="e">
        <f>'12.Char.Dir'!R29</f>
        <v>#VALUE!</v>
      </c>
      <c r="E265" s="193">
        <f>'12.Char.Dir'!S29</f>
        <v>0</v>
      </c>
      <c r="F265" s="193">
        <f>'12.Char.Dir'!T29</f>
        <v>0</v>
      </c>
    </row>
    <row r="266" spans="1:7" ht="15" thickBot="1">
      <c r="A266" s="192">
        <f>'14.Char.Ind'!B14</f>
        <v>0</v>
      </c>
      <c r="B266" s="193">
        <f>'14.Char.Ind'!P14</f>
        <v>0</v>
      </c>
      <c r="C266" s="193" t="e">
        <f>'14.Char.Ind'!Q14</f>
        <v>#VALUE!</v>
      </c>
      <c r="D266" s="193" t="e">
        <f>'14.Char.Ind'!R14</f>
        <v>#VALUE!</v>
      </c>
      <c r="E266" s="193">
        <f>'14.Char.Ind'!S14</f>
        <v>0</v>
      </c>
      <c r="F266" s="193">
        <f>'14.Char.Ind'!T14</f>
        <v>0</v>
      </c>
    </row>
    <row r="267" spans="1:7" ht="15" thickBot="1">
      <c r="A267" s="194" t="s">
        <v>96</v>
      </c>
      <c r="B267" s="195"/>
      <c r="C267" s="195"/>
      <c r="D267" s="195"/>
      <c r="E267" s="195"/>
      <c r="F267" s="195"/>
    </row>
    <row r="268" spans="1:7">
      <c r="A268" s="271"/>
      <c r="B268" s="272"/>
      <c r="C268" s="272"/>
      <c r="D268" s="272"/>
      <c r="E268" s="272"/>
      <c r="F268" s="272"/>
      <c r="G268" s="272"/>
    </row>
    <row r="269" spans="1:7" ht="16">
      <c r="A269" s="332" t="s">
        <v>335</v>
      </c>
      <c r="B269" s="332"/>
      <c r="C269" s="332"/>
      <c r="D269" s="332"/>
      <c r="E269" s="332"/>
      <c r="F269" s="332"/>
      <c r="G269" s="332"/>
    </row>
    <row r="270" spans="1:7">
      <c r="A270" s="277" t="s">
        <v>336</v>
      </c>
      <c r="B270" s="277"/>
      <c r="C270" s="277"/>
      <c r="D270" s="278">
        <f>B116</f>
        <v>76500</v>
      </c>
      <c r="E270" s="277" t="s">
        <v>280</v>
      </c>
      <c r="F270" s="277"/>
      <c r="G270" s="277"/>
    </row>
    <row r="271" spans="1:7">
      <c r="A271" s="277" t="s">
        <v>337</v>
      </c>
      <c r="B271" s="277"/>
      <c r="C271" s="277"/>
      <c r="D271" s="279">
        <f>B118</f>
        <v>0.09</v>
      </c>
      <c r="E271" s="277"/>
      <c r="F271" s="277"/>
      <c r="G271" s="277"/>
    </row>
    <row r="272" spans="1:7" ht="15" thickBot="1">
      <c r="A272" s="277" t="s">
        <v>338</v>
      </c>
      <c r="B272" s="277"/>
      <c r="C272" s="277"/>
      <c r="D272" s="280">
        <f>B117</f>
        <v>3</v>
      </c>
      <c r="E272" s="277"/>
      <c r="F272" s="277"/>
      <c r="G272" s="277"/>
    </row>
    <row r="273" spans="1:7" ht="15" thickBot="1">
      <c r="A273" s="210" t="s">
        <v>266</v>
      </c>
      <c r="B273" s="211" t="s">
        <v>281</v>
      </c>
      <c r="C273" s="211" t="s">
        <v>282</v>
      </c>
      <c r="D273" s="211" t="s">
        <v>283</v>
      </c>
      <c r="E273" s="211" t="s">
        <v>251</v>
      </c>
      <c r="F273" s="272"/>
      <c r="G273" s="272"/>
    </row>
    <row r="274" spans="1:7" ht="15" thickBot="1">
      <c r="A274" s="212" t="s">
        <v>68</v>
      </c>
      <c r="B274" s="213">
        <f>SUMIF('3.Cal.Amo.LT'!$A:$A,BP_Pres!$A274,'3.Cal.Amo.LT'!$B:$B)+SUMIF('4.Cal.Amo.AI'!$A:$A,BP_Pres!$A274,'4.Cal.Amo.AI'!$B:$B)</f>
        <v>76500</v>
      </c>
      <c r="C274" s="213">
        <f>SUMIF('3.Cal.Amo.LT'!$A:$A,BP_Pres!$A274,'3.Cal.Amo.LT'!$C:$C)+SUMIF('4.Cal.Amo.AI'!$A:$A,BP_Pres!$A274,'4.Cal.Amo.AI'!$C:$C)</f>
        <v>6885</v>
      </c>
      <c r="D274" s="213">
        <f>SUMIF('3.Cal.Amo.LT'!$A:$A,BP_Pres!$A274,'3.Cal.Amo.LT'!$E:$E)+SUMIF('4.Cal.Amo.AI'!$A:$A,BP_Pres!$A274,'4.Cal.Amo.AI'!$E:$E)</f>
        <v>23336.68893566394</v>
      </c>
      <c r="E274" s="213">
        <f>SUMIF('3.Cal.Amo.LT'!$A:$A,BP_Pres!$A274,'3.Cal.Amo.LT'!$F:$F)+SUMIF('4.Cal.Amo.AI'!$A:$A,BP_Pres!$A274,'4.Cal.Amo.AI'!$F:$F)</f>
        <v>30221.68893566394</v>
      </c>
      <c r="F274" s="272"/>
      <c r="G274" s="272"/>
    </row>
    <row r="275" spans="1:7" ht="15" thickBot="1">
      <c r="A275" s="214" t="s">
        <v>69</v>
      </c>
      <c r="B275" s="213">
        <f>SUMIF('3.Cal.Amo.LT'!$A:$A,BP_Pres!$A275,'3.Cal.Amo.LT'!$B:$B)+SUMIF('4.Cal.Amo.AI'!$A:$A,BP_Pres!$A275,'4.Cal.Amo.AI'!$B:$B)</f>
        <v>53163.311064336056</v>
      </c>
      <c r="C275" s="213">
        <f>SUMIF('3.Cal.Amo.LT'!$A:$A,BP_Pres!$A275,'3.Cal.Amo.LT'!$C:$C)+SUMIF('4.Cal.Amo.AI'!$A:$A,BP_Pres!$A275,'4.Cal.Amo.AI'!$C:$C)</f>
        <v>4784.6979957902449</v>
      </c>
      <c r="D275" s="213">
        <f>SUMIF('3.Cal.Amo.LT'!$A:$A,BP_Pres!$A275,'3.Cal.Amo.LT'!$E:$E)+SUMIF('4.Cal.Amo.AI'!$A:$A,BP_Pres!$A275,'4.Cal.Amo.AI'!$E:$E)</f>
        <v>25436.990939873696</v>
      </c>
      <c r="E275" s="213">
        <f>SUMIF('3.Cal.Amo.LT'!$A:$A,BP_Pres!$A275,'3.Cal.Amo.LT'!$F:$F)+SUMIF('4.Cal.Amo.AI'!$A:$A,BP_Pres!$A275,'4.Cal.Amo.AI'!$F:$F)</f>
        <v>30221.68893566394</v>
      </c>
      <c r="F275" s="272"/>
      <c r="G275" s="272"/>
    </row>
    <row r="276" spans="1:7" ht="15" thickBot="1">
      <c r="A276" s="214" t="s">
        <v>70</v>
      </c>
      <c r="B276" s="213">
        <f>SUMIF('3.Cal.Amo.LT'!$A:$A,BP_Pres!$A276,'3.Cal.Amo.LT'!$B:$B)+SUMIF('4.Cal.Amo.AI'!$A:$A,BP_Pres!$A276,'4.Cal.Amo.AI'!$B:$B)</f>
        <v>27726.32012446236</v>
      </c>
      <c r="C276" s="213">
        <f>SUMIF('3.Cal.Amo.LT'!$A:$A,BP_Pres!$A276,'3.Cal.Amo.LT'!$C:$C)+SUMIF('4.Cal.Amo.AI'!$A:$A,BP_Pres!$A276,'4.Cal.Amo.AI'!$C:$C)</f>
        <v>2495.3688112016121</v>
      </c>
      <c r="D276" s="213">
        <f>SUMIF('3.Cal.Amo.LT'!$A:$A,BP_Pres!$A276,'3.Cal.Amo.LT'!$E:$E)+SUMIF('4.Cal.Amo.AI'!$A:$A,BP_Pres!$A276,'4.Cal.Amo.AI'!$E:$E)</f>
        <v>27726.320124462327</v>
      </c>
      <c r="E276" s="213">
        <f>SUMIF('3.Cal.Amo.LT'!$A:$A,BP_Pres!$A276,'3.Cal.Amo.LT'!$F:$F)+SUMIF('4.Cal.Amo.AI'!$A:$A,BP_Pres!$A276,'4.Cal.Amo.AI'!$F:$F)</f>
        <v>30221.68893566394</v>
      </c>
      <c r="F276" s="272"/>
      <c r="G276" s="272"/>
    </row>
    <row r="277" spans="1:7" ht="15" thickBot="1">
      <c r="A277" s="214" t="s">
        <v>297</v>
      </c>
      <c r="B277" s="213">
        <f>SUMIF('3.Cal.Amo.LT'!$A:$A,BP_Pres!$A277,'3.Cal.Amo.LT'!$B:$B)+SUMIF('4.Cal.Amo.AI'!$A:$A,BP_Pres!$A277,'4.Cal.Amo.AI'!$B:$B)</f>
        <v>3.2741809263825417E-11</v>
      </c>
      <c r="C277" s="213">
        <f>SUMIF('3.Cal.Amo.LT'!$A:$A,BP_Pres!$A277,'3.Cal.Amo.LT'!$C:$C)+SUMIF('4.Cal.Amo.AI'!$A:$A,BP_Pres!$A277,'4.Cal.Amo.AI'!$C:$C)</f>
        <v>2.9467628337442873E-12</v>
      </c>
      <c r="D277" s="213">
        <f>SUMIF('3.Cal.Amo.LT'!$A:$A,BP_Pres!$A277,'3.Cal.Amo.LT'!$E:$E)+SUMIF('4.Cal.Amo.AI'!$A:$A,BP_Pres!$A277,'4.Cal.Amo.AI'!$E:$E)</f>
        <v>-2.9467628337442873E-12</v>
      </c>
      <c r="E277" s="213">
        <f>SUMIF('3.Cal.Amo.LT'!$A:$A,BP_Pres!$A277,'3.Cal.Amo.LT'!$F:$F)+SUMIF('4.Cal.Amo.AI'!$A:$A,BP_Pres!$A277,'4.Cal.Amo.AI'!$F:$F)</f>
        <v>0</v>
      </c>
      <c r="F277" s="272"/>
      <c r="G277" s="272"/>
    </row>
    <row r="278" spans="1:7" ht="15" thickBot="1">
      <c r="A278" s="214" t="s">
        <v>298</v>
      </c>
      <c r="B278" s="213">
        <f>SUMIF('3.Cal.Amo.LT'!$A:$A,BP_Pres!$A278,'3.Cal.Amo.LT'!$B:$B)+SUMIF('4.Cal.Amo.AI'!$A:$A,BP_Pres!$A278,'4.Cal.Amo.AI'!$B:$B)</f>
        <v>3.5688572097569706E-11</v>
      </c>
      <c r="C278" s="213">
        <f>SUMIF('3.Cal.Amo.LT'!$A:$A,BP_Pres!$A278,'3.Cal.Amo.LT'!$C:$C)+SUMIF('4.Cal.Amo.AI'!$A:$A,BP_Pres!$A278,'4.Cal.Amo.AI'!$C:$C)</f>
        <v>3.2119714887812734E-12</v>
      </c>
      <c r="D278" s="213">
        <f>SUMIF('3.Cal.Amo.LT'!$A:$A,BP_Pres!$A278,'3.Cal.Amo.LT'!$E:$E)+SUMIF('4.Cal.Amo.AI'!$A:$A,BP_Pres!$A278,'4.Cal.Amo.AI'!$E:$E)</f>
        <v>-3.2119714887812734E-12</v>
      </c>
      <c r="E278" s="213">
        <f>SUMIF('3.Cal.Amo.LT'!$A:$A,BP_Pres!$A278,'3.Cal.Amo.LT'!$F:$F)+SUMIF('4.Cal.Amo.AI'!$A:$A,BP_Pres!$A278,'4.Cal.Amo.AI'!$F:$F)</f>
        <v>0</v>
      </c>
      <c r="F278" s="272"/>
      <c r="G278" s="272"/>
    </row>
    <row r="279" spans="1:7">
      <c r="A279" s="215"/>
      <c r="B279" s="216"/>
      <c r="C279" s="216"/>
      <c r="D279" s="216"/>
      <c r="E279" s="216"/>
      <c r="F279" s="272"/>
      <c r="G279" s="272"/>
    </row>
    <row r="280" spans="1:7">
      <c r="A280" s="277" t="s">
        <v>339</v>
      </c>
      <c r="B280" s="277"/>
      <c r="C280" s="277"/>
      <c r="D280" s="278">
        <f>B112</f>
        <v>3698500.8717999998</v>
      </c>
      <c r="E280" s="277" t="s">
        <v>280</v>
      </c>
      <c r="F280" s="277"/>
      <c r="G280" s="277"/>
    </row>
    <row r="281" spans="1:7">
      <c r="A281" s="277" t="s">
        <v>337</v>
      </c>
      <c r="B281" s="277"/>
      <c r="C281" s="277"/>
      <c r="D281" s="281">
        <f>B114</f>
        <v>0.14000000000000001</v>
      </c>
      <c r="E281" s="277"/>
      <c r="F281" s="277"/>
      <c r="G281" s="277"/>
    </row>
    <row r="282" spans="1:7" ht="15" thickBot="1">
      <c r="A282" s="277" t="s">
        <v>338</v>
      </c>
      <c r="B282" s="277"/>
      <c r="C282" s="277"/>
      <c r="D282" s="278">
        <f>B113</f>
        <v>12</v>
      </c>
      <c r="E282" s="277"/>
      <c r="F282" s="277"/>
      <c r="G282" s="277"/>
    </row>
    <row r="283" spans="1:7" ht="15" thickBot="1">
      <c r="A283" s="210" t="s">
        <v>11</v>
      </c>
      <c r="B283" s="211" t="s">
        <v>281</v>
      </c>
      <c r="C283" s="211" t="s">
        <v>282</v>
      </c>
      <c r="D283" s="211" t="s">
        <v>283</v>
      </c>
      <c r="E283" s="211" t="s">
        <v>251</v>
      </c>
      <c r="F283" s="272"/>
      <c r="G283" s="272"/>
    </row>
    <row r="284" spans="1:7" ht="15" thickBot="1">
      <c r="A284" s="212">
        <f>'2.Cal.Amo.CT'!A10</f>
        <v>1</v>
      </c>
      <c r="B284" s="212">
        <f>'2.Cal.Amo.CT'!B10</f>
        <v>3698500.8717999998</v>
      </c>
      <c r="C284" s="212">
        <f>'2.Cal.Amo.CT'!C10</f>
        <v>43149.176837666666</v>
      </c>
      <c r="D284" s="212">
        <f>'2.Cal.Amo.CT'!E10</f>
        <v>288928.55592455424</v>
      </c>
      <c r="E284" s="212">
        <f>'2.Cal.Amo.CT'!F10</f>
        <v>332077.7327622209</v>
      </c>
      <c r="F284" s="272"/>
      <c r="G284" s="272"/>
    </row>
    <row r="285" spans="1:7" ht="15" thickBot="1">
      <c r="A285" s="212">
        <f>'2.Cal.Amo.CT'!A11</f>
        <v>2</v>
      </c>
      <c r="B285" s="212">
        <f>'2.Cal.Amo.CT'!B11</f>
        <v>3409572.3158754455</v>
      </c>
      <c r="C285" s="212">
        <f>'2.Cal.Amo.CT'!C11</f>
        <v>39778.343685213535</v>
      </c>
      <c r="D285" s="212">
        <f>'2.Cal.Amo.CT'!E11</f>
        <v>292299.38907700736</v>
      </c>
      <c r="E285" s="212">
        <f>'2.Cal.Amo.CT'!F11</f>
        <v>332077.7327622209</v>
      </c>
      <c r="F285" s="272"/>
      <c r="G285" s="272"/>
    </row>
    <row r="286" spans="1:7" ht="15" thickBot="1">
      <c r="A286" s="212">
        <f>'2.Cal.Amo.CT'!A12</f>
        <v>3</v>
      </c>
      <c r="B286" s="212">
        <f>'2.Cal.Amo.CT'!B12</f>
        <v>3117272.9267984382</v>
      </c>
      <c r="C286" s="212">
        <f>'2.Cal.Amo.CT'!C12</f>
        <v>36368.184145981781</v>
      </c>
      <c r="D286" s="212">
        <f>'2.Cal.Amo.CT'!E12</f>
        <v>295709.5486162391</v>
      </c>
      <c r="E286" s="212">
        <f>'2.Cal.Amo.CT'!F12</f>
        <v>332077.7327622209</v>
      </c>
      <c r="F286" s="272"/>
      <c r="G286" s="272"/>
    </row>
    <row r="287" spans="1:7" ht="15" thickBot="1">
      <c r="A287" s="212">
        <f>'2.Cal.Amo.CT'!A13</f>
        <v>4</v>
      </c>
      <c r="B287" s="212">
        <f>'2.Cal.Amo.CT'!B13</f>
        <v>2821563.3781821989</v>
      </c>
      <c r="C287" s="212">
        <f>'2.Cal.Amo.CT'!C13</f>
        <v>32918.239412125651</v>
      </c>
      <c r="D287" s="212">
        <f>'2.Cal.Amo.CT'!E13</f>
        <v>299159.49335009523</v>
      </c>
      <c r="E287" s="212">
        <f>'2.Cal.Amo.CT'!F13</f>
        <v>332077.7327622209</v>
      </c>
      <c r="F287" s="272"/>
      <c r="G287" s="272"/>
    </row>
    <row r="288" spans="1:7" ht="15" thickBot="1">
      <c r="A288" s="212">
        <f>'2.Cal.Amo.CT'!A14</f>
        <v>5</v>
      </c>
      <c r="B288" s="212">
        <f>'2.Cal.Amo.CT'!B14</f>
        <v>2522403.8848321037</v>
      </c>
      <c r="C288" s="212">
        <f>'2.Cal.Amo.CT'!C14</f>
        <v>29428.045323041213</v>
      </c>
      <c r="D288" s="212">
        <f>'2.Cal.Amo.CT'!E14</f>
        <v>302649.68743917969</v>
      </c>
      <c r="E288" s="212">
        <f>'2.Cal.Amo.CT'!F14</f>
        <v>332077.7327622209</v>
      </c>
      <c r="F288" s="272"/>
      <c r="G288" s="272"/>
    </row>
    <row r="289" spans="1:11" ht="15" thickBot="1">
      <c r="A289" s="212">
        <f>'2.Cal.Amo.CT'!A15</f>
        <v>6</v>
      </c>
      <c r="B289" s="212">
        <f>'2.Cal.Amo.CT'!B15</f>
        <v>2219754.1973929242</v>
      </c>
      <c r="C289" s="212">
        <f>'2.Cal.Amo.CT'!C15</f>
        <v>25897.132302917449</v>
      </c>
      <c r="D289" s="212">
        <f>'2.Cal.Amo.CT'!E15</f>
        <v>306180.60045930347</v>
      </c>
      <c r="E289" s="212">
        <f>'2.Cal.Amo.CT'!F15</f>
        <v>332077.7327622209</v>
      </c>
      <c r="F289" s="272"/>
      <c r="G289" s="272"/>
    </row>
    <row r="290" spans="1:11" ht="15" thickBot="1">
      <c r="A290" s="212">
        <f>'2.Cal.Amo.CT'!A16</f>
        <v>7</v>
      </c>
      <c r="B290" s="212">
        <f>'2.Cal.Amo.CT'!B16</f>
        <v>1913573.5969336207</v>
      </c>
      <c r="C290" s="212">
        <f>'2.Cal.Amo.CT'!C16</f>
        <v>22325.02529755891</v>
      </c>
      <c r="D290" s="212">
        <f>'2.Cal.Amo.CT'!E16</f>
        <v>309752.70746466197</v>
      </c>
      <c r="E290" s="212">
        <f>'2.Cal.Amo.CT'!F16</f>
        <v>332077.7327622209</v>
      </c>
      <c r="F290" s="272"/>
      <c r="G290" s="272"/>
    </row>
    <row r="291" spans="1:11" ht="15" thickBot="1">
      <c r="A291" s="212">
        <f>'2.Cal.Amo.CT'!A17</f>
        <v>8</v>
      </c>
      <c r="B291" s="212">
        <f>'2.Cal.Amo.CT'!B17</f>
        <v>1603820.8894689588</v>
      </c>
      <c r="C291" s="212">
        <f>'2.Cal.Amo.CT'!C17</f>
        <v>18711.243710471186</v>
      </c>
      <c r="D291" s="212">
        <f>'2.Cal.Amo.CT'!E17</f>
        <v>313366.4890517497</v>
      </c>
      <c r="E291" s="212">
        <f>'2.Cal.Amo.CT'!F17</f>
        <v>332077.7327622209</v>
      </c>
      <c r="F291" s="272"/>
      <c r="G291" s="272"/>
    </row>
    <row r="292" spans="1:11" ht="15" thickBot="1">
      <c r="A292" s="212">
        <f>'2.Cal.Amo.CT'!A18</f>
        <v>9</v>
      </c>
      <c r="B292" s="212">
        <f>'2.Cal.Amo.CT'!B18</f>
        <v>1290454.4004172091</v>
      </c>
      <c r="C292" s="212">
        <f>'2.Cal.Amo.CT'!C18</f>
        <v>15055.301338200774</v>
      </c>
      <c r="D292" s="212">
        <f>'2.Cal.Amo.CT'!E18</f>
        <v>317022.43142402015</v>
      </c>
      <c r="E292" s="212">
        <f>'2.Cal.Amo.CT'!F18</f>
        <v>332077.7327622209</v>
      </c>
      <c r="F292" s="272"/>
      <c r="G292" s="272"/>
    </row>
    <row r="293" spans="1:11" ht="15" thickBot="1">
      <c r="A293" s="212">
        <f>'2.Cal.Amo.CT'!A19</f>
        <v>10</v>
      </c>
      <c r="B293" s="212">
        <f>'2.Cal.Amo.CT'!B19</f>
        <v>973431.96899318905</v>
      </c>
      <c r="C293" s="212">
        <f>'2.Cal.Amo.CT'!C19</f>
        <v>11356.706304920539</v>
      </c>
      <c r="D293" s="212">
        <f>'2.Cal.Amo.CT'!E19</f>
        <v>320721.02645730035</v>
      </c>
      <c r="E293" s="212">
        <f>'2.Cal.Amo.CT'!F19</f>
        <v>332077.7327622209</v>
      </c>
      <c r="F293" s="272"/>
      <c r="G293" s="272"/>
    </row>
    <row r="294" spans="1:11" ht="15" thickBot="1">
      <c r="A294" s="212">
        <f>'2.Cal.Amo.CT'!A20</f>
        <v>11</v>
      </c>
      <c r="B294" s="212">
        <f>'2.Cal.Amo.CT'!B20</f>
        <v>652710.94253588864</v>
      </c>
      <c r="C294" s="212">
        <f>'2.Cal.Amo.CT'!C20</f>
        <v>7614.9609962520344</v>
      </c>
      <c r="D294" s="212">
        <f>'2.Cal.Amo.CT'!E20</f>
        <v>324462.77176596888</v>
      </c>
      <c r="E294" s="212">
        <f>'2.Cal.Amo.CT'!F20</f>
        <v>332077.7327622209</v>
      </c>
      <c r="F294" s="272"/>
      <c r="G294" s="272"/>
    </row>
    <row r="295" spans="1:11" ht="15" thickBot="1">
      <c r="A295" s="212">
        <f>'2.Cal.Amo.CT'!A21</f>
        <v>12</v>
      </c>
      <c r="B295" s="212">
        <f>'2.Cal.Amo.CT'!B21</f>
        <v>328248.17076991976</v>
      </c>
      <c r="C295" s="212">
        <f>'2.Cal.Amo.CT'!C21</f>
        <v>3829.5619923157305</v>
      </c>
      <c r="D295" s="212">
        <f>'2.Cal.Amo.CT'!E21</f>
        <v>328248.17076990515</v>
      </c>
      <c r="E295" s="212">
        <f>'2.Cal.Amo.CT'!F21</f>
        <v>332077.7327622209</v>
      </c>
      <c r="F295" s="272"/>
      <c r="G295" s="272"/>
    </row>
    <row r="296" spans="1:11">
      <c r="A296" s="215"/>
      <c r="B296" s="216"/>
      <c r="C296" s="216"/>
      <c r="D296" s="216"/>
      <c r="E296" s="216"/>
      <c r="F296" s="272"/>
      <c r="G296" s="272"/>
    </row>
    <row r="297" spans="1:11" ht="25.5" customHeight="1">
      <c r="A297" s="335" t="s">
        <v>340</v>
      </c>
      <c r="B297" s="335"/>
      <c r="C297" s="335"/>
      <c r="D297" s="335"/>
      <c r="E297" s="335"/>
      <c r="F297" s="335"/>
      <c r="G297" s="335"/>
    </row>
    <row r="298" spans="1:11" ht="20.25" customHeight="1">
      <c r="A298" s="336" t="s">
        <v>341</v>
      </c>
      <c r="B298" s="336"/>
      <c r="C298" s="336"/>
      <c r="D298" s="336"/>
      <c r="E298" s="336"/>
      <c r="F298" s="336"/>
      <c r="G298" s="336"/>
    </row>
    <row r="299" spans="1:11" s="314" customFormat="1" ht="18">
      <c r="A299" s="314" t="s">
        <v>345</v>
      </c>
      <c r="F299" s="315" t="s">
        <v>346</v>
      </c>
      <c r="G299" s="314" t="s">
        <v>347</v>
      </c>
    </row>
    <row r="300" spans="1:11" ht="15" customHeight="1"/>
    <row r="301" spans="1:11">
      <c r="A301" s="27">
        <f>'16.CR'!A5</f>
        <v>0</v>
      </c>
      <c r="B301" s="27" t="str">
        <f>'16.CR'!B5</f>
        <v>Designation</v>
      </c>
      <c r="C301" s="245" t="str">
        <f>'16.CR'!C5</f>
        <v>N</v>
      </c>
      <c r="D301" s="245" t="str">
        <f>'16.CR'!D5</f>
        <v>N+1</v>
      </c>
      <c r="E301" s="245" t="str">
        <f>'16.CR'!E5</f>
        <v>N+2</v>
      </c>
      <c r="G301" s="27">
        <f>'20.CR IFRS'!A3</f>
        <v>0</v>
      </c>
      <c r="H301" s="27" t="str">
        <f>'20.CR IFRS'!B3</f>
        <v>Designation</v>
      </c>
      <c r="I301" s="245" t="str">
        <f>'20.CR IFRS'!C3</f>
        <v>N</v>
      </c>
      <c r="J301" s="245" t="str">
        <f>'20.CR IFRS'!D3</f>
        <v>N+1</v>
      </c>
      <c r="K301" s="245" t="str">
        <f>'20.CR IFRS'!E3</f>
        <v>N+2</v>
      </c>
    </row>
    <row r="302" spans="1:11" ht="15" customHeight="1">
      <c r="A302" s="27" t="str">
        <f>'16.CR'!A6</f>
        <v>Chiffre d'affaires</v>
      </c>
      <c r="B302" s="27" t="str">
        <f>'16.CR'!B6</f>
        <v>Chiffre d'affaires</v>
      </c>
      <c r="C302" s="31">
        <f>'16.CR'!C6</f>
        <v>0</v>
      </c>
      <c r="D302" s="31">
        <f>'16.CR'!D6</f>
        <v>0</v>
      </c>
      <c r="E302" s="31">
        <f>'16.CR'!E6</f>
        <v>0</v>
      </c>
      <c r="G302" s="28" t="str">
        <f>'20.CR IFRS'!A4</f>
        <v>Ventes de marchandises</v>
      </c>
      <c r="H302" s="28" t="str">
        <f>'20.CR IFRS'!B4</f>
        <v>CA de Tenue de luxe Homme</v>
      </c>
      <c r="I302" s="31" t="e">
        <f>'20.CR IFRS'!C4</f>
        <v>#VALUE!</v>
      </c>
      <c r="J302" s="31" t="e">
        <f>'20.CR IFRS'!D4</f>
        <v>#VALUE!</v>
      </c>
      <c r="K302" s="31" t="e">
        <f>'20.CR IFRS'!E4</f>
        <v>#VALUE!</v>
      </c>
    </row>
    <row r="303" spans="1:11">
      <c r="A303" s="28" t="str">
        <f>'16.CR'!A7</f>
        <v>Ventes de marchandises</v>
      </c>
      <c r="B303" s="28" t="str">
        <f>'16.CR'!B7</f>
        <v>CA de Tenue de luxe Homme</v>
      </c>
      <c r="C303" s="31" t="e">
        <f>'16.CR'!C7</f>
        <v>#VALUE!</v>
      </c>
      <c r="D303" s="31" t="e">
        <f>'16.CR'!D7</f>
        <v>#VALUE!</v>
      </c>
      <c r="E303" s="31" t="e">
        <f>'16.CR'!E7</f>
        <v>#VALUE!</v>
      </c>
      <c r="G303" s="28" t="str">
        <f>'20.CR IFRS'!A5</f>
        <v>Ventes de produits fabriqués</v>
      </c>
      <c r="H303" s="28">
        <f>'20.CR IFRS'!B5</f>
        <v>0</v>
      </c>
      <c r="I303" s="31">
        <f>'20.CR IFRS'!C5</f>
        <v>0</v>
      </c>
      <c r="J303" s="31">
        <f>'20.CR IFRS'!D5</f>
        <v>0</v>
      </c>
      <c r="K303" s="31">
        <f>'20.CR IFRS'!E5</f>
        <v>0</v>
      </c>
    </row>
    <row r="304" spans="1:11">
      <c r="A304" s="28" t="str">
        <f>'16.CR'!A8</f>
        <v>Ventes de produits fabriqués</v>
      </c>
      <c r="B304" s="28">
        <f>'16.CR'!B8</f>
        <v>0</v>
      </c>
      <c r="C304" s="31">
        <f>'16.CR'!C8</f>
        <v>0</v>
      </c>
      <c r="D304" s="31">
        <f>'16.CR'!D8</f>
        <v>0</v>
      </c>
      <c r="E304" s="31">
        <f>'16.CR'!E8</f>
        <v>0</v>
      </c>
      <c r="G304" s="28" t="str">
        <f>'20.CR IFRS'!A6</f>
        <v>Vente de services</v>
      </c>
      <c r="H304" s="28">
        <f>'20.CR IFRS'!B6</f>
        <v>0</v>
      </c>
      <c r="I304" s="31">
        <f>'20.CR IFRS'!C6</f>
        <v>0</v>
      </c>
      <c r="J304" s="31">
        <f>'20.CR IFRS'!D6</f>
        <v>0</v>
      </c>
      <c r="K304" s="31">
        <f>'20.CR IFRS'!E6</f>
        <v>0</v>
      </c>
    </row>
    <row r="305" spans="1:11">
      <c r="A305" s="28" t="str">
        <f>'16.CR'!A9</f>
        <v>Vente de services</v>
      </c>
      <c r="B305" s="28">
        <f>'16.CR'!B9</f>
        <v>0</v>
      </c>
      <c r="C305" s="31">
        <f>'16.CR'!C9</f>
        <v>0</v>
      </c>
      <c r="D305" s="31">
        <f>'16.CR'!D9</f>
        <v>0</v>
      </c>
      <c r="E305" s="31">
        <f>'16.CR'!E9</f>
        <v>0</v>
      </c>
      <c r="G305" s="28" t="str">
        <f>'20.CR IFRS'!A7</f>
        <v>Ventes d'autre produits</v>
      </c>
      <c r="H305" s="28">
        <f>'20.CR IFRS'!B7</f>
        <v>0</v>
      </c>
      <c r="I305" s="31">
        <f>'20.CR IFRS'!C7</f>
        <v>0</v>
      </c>
      <c r="J305" s="31">
        <f>'20.CR IFRS'!D7</f>
        <v>0</v>
      </c>
      <c r="K305" s="31">
        <f>'20.CR IFRS'!E7</f>
        <v>0</v>
      </c>
    </row>
    <row r="306" spans="1:11">
      <c r="A306" s="28" t="str">
        <f>'16.CR'!A10</f>
        <v>Ventes d'autre produits</v>
      </c>
      <c r="B306" s="28">
        <f>'16.CR'!B10</f>
        <v>0</v>
      </c>
      <c r="C306" s="31">
        <f>'16.CR'!C10</f>
        <v>0</v>
      </c>
      <c r="D306" s="31">
        <f>'16.CR'!D10</f>
        <v>0</v>
      </c>
      <c r="E306" s="31">
        <f>'16.CR'!E10</f>
        <v>0</v>
      </c>
      <c r="G306" s="27" t="str">
        <f>'20.CR IFRS'!A8</f>
        <v>Total Revenu</v>
      </c>
      <c r="H306" s="27" t="str">
        <f>'20.CR IFRS'!B8</f>
        <v>Total Revenu</v>
      </c>
      <c r="I306" s="31" t="e">
        <f>'20.CR IFRS'!C8</f>
        <v>#VALUE!</v>
      </c>
      <c r="J306" s="31" t="e">
        <f>'20.CR IFRS'!D8</f>
        <v>#VALUE!</v>
      </c>
      <c r="K306" s="31" t="e">
        <f>'20.CR IFRS'!E8</f>
        <v>#VALUE!</v>
      </c>
    </row>
    <row r="307" spans="1:11" ht="15.75" customHeight="1">
      <c r="A307" s="27" t="str">
        <f>'16.CR'!A11</f>
        <v>Total Chiffre d'Affaires</v>
      </c>
      <c r="B307" s="27" t="str">
        <f>'16.CR'!B11</f>
        <v>Total Chiffre d'Affaires</v>
      </c>
      <c r="C307" s="31" t="e">
        <f>'16.CR'!C11</f>
        <v>#VALUE!</v>
      </c>
      <c r="D307" s="31" t="e">
        <f>'16.CR'!D11</f>
        <v>#VALUE!</v>
      </c>
      <c r="E307" s="31" t="e">
        <f>'16.CR'!E11</f>
        <v>#VALUE!</v>
      </c>
      <c r="G307" s="28" t="str">
        <f>'20.CR IFRS'!A9</f>
        <v>Achat de marchandises</v>
      </c>
      <c r="H307" s="28" t="str">
        <f>'20.CR IFRS'!B9</f>
        <v>Achat de Tenue de luxe Homme</v>
      </c>
      <c r="I307" s="31">
        <f>'20.CR IFRS'!C9</f>
        <v>16200000</v>
      </c>
      <c r="J307" s="31">
        <f>'20.CR IFRS'!D9</f>
        <v>17820000</v>
      </c>
      <c r="K307" s="31">
        <f>'20.CR IFRS'!E9</f>
        <v>19602000</v>
      </c>
    </row>
    <row r="308" spans="1:11">
      <c r="A308" s="27" t="str">
        <f>'16.CR'!A12</f>
        <v>Consommation intermédiaires</v>
      </c>
      <c r="B308" s="27" t="str">
        <f>'16.CR'!B12</f>
        <v>Consommation intermédiaires</v>
      </c>
      <c r="C308" s="31">
        <f>'16.CR'!C12</f>
        <v>0</v>
      </c>
      <c r="D308" s="31">
        <f>'16.CR'!D12</f>
        <v>0</v>
      </c>
      <c r="E308" s="31">
        <f>'16.CR'!E12</f>
        <v>0</v>
      </c>
      <c r="G308" s="28" t="str">
        <f>'20.CR IFRS'!A10</f>
        <v>Achat de MP</v>
      </c>
      <c r="H308" s="28">
        <f>'20.CR IFRS'!B10</f>
        <v>0</v>
      </c>
      <c r="I308" s="31">
        <f>'20.CR IFRS'!C10</f>
        <v>0</v>
      </c>
      <c r="J308" s="31">
        <f>'20.CR IFRS'!D10</f>
        <v>0</v>
      </c>
      <c r="K308" s="31">
        <f>'20.CR IFRS'!E10</f>
        <v>0</v>
      </c>
    </row>
    <row r="309" spans="1:11">
      <c r="A309" s="28" t="str">
        <f>'16.CR'!A13</f>
        <v>Achat de marchandises</v>
      </c>
      <c r="B309" s="28" t="str">
        <f>'16.CR'!B13</f>
        <v>Achat de Tenue de luxe Homme</v>
      </c>
      <c r="C309" s="31">
        <f>'16.CR'!C13</f>
        <v>16200000</v>
      </c>
      <c r="D309" s="31">
        <f>'16.CR'!D13</f>
        <v>17820000</v>
      </c>
      <c r="E309" s="31">
        <f>'16.CR'!E13</f>
        <v>19602000</v>
      </c>
      <c r="G309" s="28" t="str">
        <f>'20.CR IFRS'!A11</f>
        <v>Main d'œuvre directe vente</v>
      </c>
      <c r="H309" s="28">
        <f>'20.CR IFRS'!B11</f>
        <v>0</v>
      </c>
      <c r="I309" s="31">
        <f>'20.CR IFRS'!C11</f>
        <v>0</v>
      </c>
      <c r="J309" s="31">
        <f>'20.CR IFRS'!D11</f>
        <v>0</v>
      </c>
      <c r="K309" s="31">
        <f>'20.CR IFRS'!E11</f>
        <v>0</v>
      </c>
    </row>
    <row r="310" spans="1:11">
      <c r="A310" s="28" t="str">
        <f>'16.CR'!A14</f>
        <v>Achat de MP</v>
      </c>
      <c r="B310" s="28">
        <f>'16.CR'!B14</f>
        <v>0</v>
      </c>
      <c r="C310" s="31">
        <f>'16.CR'!C14</f>
        <v>0</v>
      </c>
      <c r="D310" s="31">
        <f>'16.CR'!D14</f>
        <v>0</v>
      </c>
      <c r="E310" s="31">
        <f>'16.CR'!E14</f>
        <v>0</v>
      </c>
      <c r="G310" s="28" t="str">
        <f>'20.CR IFRS'!A12</f>
        <v>Main d'œuvre directe transformation</v>
      </c>
      <c r="H310" s="28">
        <f>'20.CR IFRS'!B12</f>
        <v>0</v>
      </c>
      <c r="I310" s="31">
        <f>'20.CR IFRS'!C12</f>
        <v>0</v>
      </c>
      <c r="J310" s="31">
        <f>'20.CR IFRS'!D12</f>
        <v>0</v>
      </c>
      <c r="K310" s="31">
        <f>'20.CR IFRS'!E12</f>
        <v>0</v>
      </c>
    </row>
    <row r="311" spans="1:11" ht="15.75" customHeight="1">
      <c r="A311" s="28" t="str">
        <f>'16.CR'!A15</f>
        <v>Main d'œuvre directe vente</v>
      </c>
      <c r="B311" s="28">
        <f>'16.CR'!B15</f>
        <v>0</v>
      </c>
      <c r="C311" s="31">
        <f>'16.CR'!C15</f>
        <v>0</v>
      </c>
      <c r="D311" s="31">
        <f>'16.CR'!D15</f>
        <v>0</v>
      </c>
      <c r="E311" s="31">
        <f>'16.CR'!E15</f>
        <v>0</v>
      </c>
      <c r="G311" s="28" t="str">
        <f>'20.CR IFRS'!A13</f>
        <v>Main d'œuvre directe vente de services</v>
      </c>
      <c r="H311" s="28">
        <f>'20.CR IFRS'!B13</f>
        <v>0</v>
      </c>
      <c r="I311" s="31">
        <f>'20.CR IFRS'!C13</f>
        <v>0</v>
      </c>
      <c r="J311" s="31">
        <f>'20.CR IFRS'!D13</f>
        <v>0</v>
      </c>
      <c r="K311" s="31">
        <f>'20.CR IFRS'!E13</f>
        <v>0</v>
      </c>
    </row>
    <row r="312" spans="1:11">
      <c r="A312" s="28" t="str">
        <f>'16.CR'!A16</f>
        <v>Main d'œuvre directe transformation</v>
      </c>
      <c r="B312" s="28">
        <f>'16.CR'!B16</f>
        <v>0</v>
      </c>
      <c r="C312" s="31">
        <f>'16.CR'!C16</f>
        <v>0</v>
      </c>
      <c r="D312" s="31">
        <f>'16.CR'!D16</f>
        <v>0</v>
      </c>
      <c r="E312" s="31">
        <f>'16.CR'!E16</f>
        <v>0</v>
      </c>
      <c r="G312" s="28" t="str">
        <f>'20.CR IFRS'!A14</f>
        <v xml:space="preserve">Frais indirects de transformation </v>
      </c>
      <c r="H312" s="28">
        <f>'20.CR IFRS'!B14</f>
        <v>0</v>
      </c>
      <c r="I312" s="31">
        <f>'20.CR IFRS'!C14</f>
        <v>0</v>
      </c>
      <c r="J312" s="31">
        <f>'20.CR IFRS'!D14</f>
        <v>0</v>
      </c>
      <c r="K312" s="31">
        <f>'20.CR IFRS'!E14</f>
        <v>0</v>
      </c>
    </row>
    <row r="313" spans="1:11">
      <c r="A313" s="28" t="str">
        <f>'16.CR'!A17</f>
        <v>Main d'œuvre directe vente de services</v>
      </c>
      <c r="B313" s="28">
        <f>'16.CR'!B17</f>
        <v>0</v>
      </c>
      <c r="C313" s="31">
        <f>'16.CR'!C17</f>
        <v>0</v>
      </c>
      <c r="D313" s="31">
        <f>'16.CR'!D17</f>
        <v>0</v>
      </c>
      <c r="E313" s="31">
        <f>'16.CR'!E17</f>
        <v>0</v>
      </c>
      <c r="G313" s="28" t="str">
        <f>'20.CR IFRS'!A15</f>
        <v>Frais indirects de vente</v>
      </c>
      <c r="H313" s="28" t="str">
        <f>'20.CR IFRS'!B15</f>
        <v>Logistique Tenue de luxe Homme</v>
      </c>
      <c r="I313" s="31">
        <f>'20.CR IFRS'!C15</f>
        <v>2160000</v>
      </c>
      <c r="J313" s="31">
        <f>'20.CR IFRS'!D15</f>
        <v>2376000</v>
      </c>
      <c r="K313" s="31">
        <f>'20.CR IFRS'!E15</f>
        <v>2613600</v>
      </c>
    </row>
    <row r="314" spans="1:11" ht="15.75" customHeight="1">
      <c r="A314" s="28" t="str">
        <f>'16.CR'!A18</f>
        <v xml:space="preserve">Frais indirects de transformation </v>
      </c>
      <c r="B314" s="28">
        <f>'16.CR'!B18</f>
        <v>0</v>
      </c>
      <c r="C314" s="31">
        <f>'16.CR'!C18</f>
        <v>0</v>
      </c>
      <c r="D314" s="31">
        <f>'16.CR'!D18</f>
        <v>0</v>
      </c>
      <c r="E314" s="31">
        <f>'16.CR'!E18</f>
        <v>0</v>
      </c>
      <c r="G314" s="28" t="str">
        <f>'20.CR IFRS'!A16</f>
        <v>Frais indirects de vente de services</v>
      </c>
      <c r="H314" s="28">
        <f>'20.CR IFRS'!B16</f>
        <v>0</v>
      </c>
      <c r="I314" s="31">
        <f>'20.CR IFRS'!C16</f>
        <v>0</v>
      </c>
      <c r="J314" s="31">
        <f>'20.CR IFRS'!D16</f>
        <v>0</v>
      </c>
      <c r="K314" s="31">
        <f>'20.CR IFRS'!E16</f>
        <v>0</v>
      </c>
    </row>
    <row r="315" spans="1:11">
      <c r="A315" s="28" t="str">
        <f>'16.CR'!A19</f>
        <v>Frais indirects de vente</v>
      </c>
      <c r="B315" s="28" t="str">
        <f>'16.CR'!B19</f>
        <v>Logistique Tenue de luxe Homme</v>
      </c>
      <c r="C315" s="31">
        <f>'16.CR'!C19</f>
        <v>2160000</v>
      </c>
      <c r="D315" s="31">
        <f>'16.CR'!D19</f>
        <v>2376000</v>
      </c>
      <c r="E315" s="31">
        <f>'16.CR'!E19</f>
        <v>2613600</v>
      </c>
      <c r="G315" s="27" t="str">
        <f>'20.CR IFRS'!A17</f>
        <v>Coût des Marchandises et services vendue</v>
      </c>
      <c r="H315" s="27" t="str">
        <f>'20.CR IFRS'!B17</f>
        <v>Coût des Marchandises et services vendue</v>
      </c>
      <c r="I315" s="33">
        <f>'20.CR IFRS'!C17</f>
        <v>18360000</v>
      </c>
      <c r="J315" s="33">
        <f>'20.CR IFRS'!D17</f>
        <v>20196000</v>
      </c>
      <c r="K315" s="33">
        <f>'20.CR IFRS'!E17</f>
        <v>22215600</v>
      </c>
    </row>
    <row r="316" spans="1:11">
      <c r="A316" s="28" t="str">
        <f>'16.CR'!A20</f>
        <v>Frais indirects de vente de services</v>
      </c>
      <c r="B316" s="28">
        <f>'16.CR'!B20</f>
        <v>0</v>
      </c>
      <c r="C316" s="31">
        <f>'16.CR'!C20</f>
        <v>0</v>
      </c>
      <c r="D316" s="31">
        <f>'16.CR'!D20</f>
        <v>0</v>
      </c>
      <c r="E316" s="31">
        <f>'16.CR'!E20</f>
        <v>0</v>
      </c>
      <c r="G316" s="29" t="str">
        <f>'20.CR IFRS'!A18</f>
        <v>Marge brute</v>
      </c>
      <c r="H316" s="29" t="str">
        <f>'20.CR IFRS'!B18</f>
        <v>Marge brute</v>
      </c>
      <c r="I316" s="33" t="e">
        <f>'20.CR IFRS'!C18</f>
        <v>#VALUE!</v>
      </c>
      <c r="J316" s="33" t="e">
        <f>'20.CR IFRS'!D18</f>
        <v>#VALUE!</v>
      </c>
      <c r="K316" s="33" t="e">
        <f>'20.CR IFRS'!E18</f>
        <v>#VALUE!</v>
      </c>
    </row>
    <row r="317" spans="1:11">
      <c r="A317" s="27" t="str">
        <f>'16.CR'!A21</f>
        <v>Total consommation intermédiaires</v>
      </c>
      <c r="B317" s="27" t="str">
        <f>'16.CR'!B21</f>
        <v>Total consommation intermédiaires</v>
      </c>
      <c r="C317" s="33">
        <f>'16.CR'!C21</f>
        <v>18360000</v>
      </c>
      <c r="D317" s="33">
        <f>'16.CR'!D21</f>
        <v>20196000</v>
      </c>
      <c r="E317" s="33">
        <f>'16.CR'!E21</f>
        <v>22215600</v>
      </c>
      <c r="G317" s="130" t="str">
        <f>'20.CR IFRS'!A19</f>
        <v>Taux de Marge brute</v>
      </c>
      <c r="H317" s="130" t="str">
        <f>'20.CR IFRS'!B19</f>
        <v>Taux de Marge brute</v>
      </c>
      <c r="I317" s="131" t="e">
        <f>'20.CR IFRS'!C19</f>
        <v>#VALUE!</v>
      </c>
      <c r="J317" s="131" t="e">
        <f>'20.CR IFRS'!D19</f>
        <v>#VALUE!</v>
      </c>
      <c r="K317" s="131" t="e">
        <f>'20.CR IFRS'!E19</f>
        <v>#VALUE!</v>
      </c>
    </row>
    <row r="318" spans="1:11">
      <c r="A318" s="29" t="str">
        <f>'16.CR'!A22</f>
        <v>Marge brute</v>
      </c>
      <c r="B318" s="29" t="str">
        <f>'16.CR'!B22</f>
        <v>Marge brute</v>
      </c>
      <c r="C318" s="33" t="e">
        <f>'16.CR'!C22</f>
        <v>#VALUE!</v>
      </c>
      <c r="D318" s="33" t="e">
        <f>'16.CR'!D22</f>
        <v>#VALUE!</v>
      </c>
      <c r="E318" s="33" t="e">
        <f>'16.CR'!E22</f>
        <v>#VALUE!</v>
      </c>
      <c r="G318" s="28" t="str">
        <f>'20.CR IFRS'!A20</f>
        <v>Action commerciale</v>
      </c>
      <c r="H318" s="28" t="str">
        <f>'20.CR IFRS'!B20</f>
        <v>Sponsoring page réseaux sociaux</v>
      </c>
      <c r="I318" s="31">
        <f>'20.CR IFRS'!C20</f>
        <v>1900000</v>
      </c>
      <c r="J318" s="31">
        <f>'20.CR IFRS'!D20</f>
        <v>1900000</v>
      </c>
      <c r="K318" s="31">
        <f>'20.CR IFRS'!E20</f>
        <v>1900000</v>
      </c>
    </row>
    <row r="319" spans="1:11">
      <c r="A319" s="27" t="str">
        <f>'16.CR'!A23</f>
        <v>Charges d'exploitation</v>
      </c>
      <c r="B319" s="27" t="str">
        <f>'16.CR'!B23</f>
        <v>Charges d'exploitation</v>
      </c>
      <c r="C319" s="31">
        <f>'16.CR'!C23</f>
        <v>0</v>
      </c>
      <c r="D319" s="31">
        <f>'16.CR'!D23</f>
        <v>0</v>
      </c>
      <c r="E319" s="31">
        <f>'16.CR'!E23</f>
        <v>0</v>
      </c>
      <c r="G319" s="28" t="str">
        <f>'20.CR IFRS'!A21</f>
        <v xml:space="preserve">Frais Généraux </v>
      </c>
      <c r="H319" s="28" t="str">
        <f>'20.CR IFRS'!B21</f>
        <v>Frais administration</v>
      </c>
      <c r="I319" s="31">
        <f>'20.CR IFRS'!C21</f>
        <v>300000</v>
      </c>
      <c r="J319" s="31">
        <f>'20.CR IFRS'!D21</f>
        <v>300000</v>
      </c>
      <c r="K319" s="31">
        <f>'20.CR IFRS'!E21</f>
        <v>300000</v>
      </c>
    </row>
    <row r="320" spans="1:11">
      <c r="A320" s="28" t="str">
        <f>'16.CR'!A24</f>
        <v>Action commerciale</v>
      </c>
      <c r="B320" s="28" t="str">
        <f>'16.CR'!B24</f>
        <v>Sponsoring page réseaux sociaux</v>
      </c>
      <c r="C320" s="31">
        <f>'16.CR'!C24</f>
        <v>1900000</v>
      </c>
      <c r="D320" s="31">
        <f>'16.CR'!D24</f>
        <v>1900000</v>
      </c>
      <c r="E320" s="31">
        <f>'16.CR'!E24</f>
        <v>1900000</v>
      </c>
      <c r="G320" s="28" t="str">
        <f>'20.CR IFRS'!A22</f>
        <v>Energie/Electricité/ Eau</v>
      </c>
      <c r="H320" s="28" t="str">
        <f>'20.CR IFRS'!B22</f>
        <v>Eau</v>
      </c>
      <c r="I320" s="31">
        <f>'20.CR IFRS'!C22</f>
        <v>990000</v>
      </c>
      <c r="J320" s="31">
        <f>'20.CR IFRS'!D22</f>
        <v>990000</v>
      </c>
      <c r="K320" s="31">
        <f>'20.CR IFRS'!E22</f>
        <v>990000</v>
      </c>
    </row>
    <row r="321" spans="1:11">
      <c r="A321" s="28" t="str">
        <f>'16.CR'!A25</f>
        <v xml:space="preserve">Frais Généraux </v>
      </c>
      <c r="B321" s="28" t="str">
        <f>'16.CR'!B25</f>
        <v>Frais administration</v>
      </c>
      <c r="C321" s="31">
        <f>'16.CR'!C25</f>
        <v>300000</v>
      </c>
      <c r="D321" s="31">
        <f>'16.CR'!D25</f>
        <v>300000</v>
      </c>
      <c r="E321" s="31">
        <f>'16.CR'!E25</f>
        <v>300000</v>
      </c>
      <c r="G321" s="28" t="str">
        <f>'20.CR IFRS'!A23</f>
        <v xml:space="preserve">Frais de transport </v>
      </c>
      <c r="H321" s="28" t="str">
        <f>'20.CR IFRS'!B23</f>
        <v>Carburant</v>
      </c>
      <c r="I321" s="31">
        <f>'20.CR IFRS'!C23</f>
        <v>600000</v>
      </c>
      <c r="J321" s="31">
        <f>'20.CR IFRS'!D23</f>
        <v>600000</v>
      </c>
      <c r="K321" s="31">
        <f>'20.CR IFRS'!E23</f>
        <v>600000</v>
      </c>
    </row>
    <row r="322" spans="1:11">
      <c r="A322" s="28" t="str">
        <f>'16.CR'!A26</f>
        <v>Energie/Electricité/ Eau</v>
      </c>
      <c r="B322" s="28" t="str">
        <f>'16.CR'!B26</f>
        <v>Eau</v>
      </c>
      <c r="C322" s="31">
        <f>'16.CR'!C26</f>
        <v>990000</v>
      </c>
      <c r="D322" s="31">
        <f>'16.CR'!D26</f>
        <v>990000</v>
      </c>
      <c r="E322" s="31">
        <f>'16.CR'!E26</f>
        <v>990000</v>
      </c>
      <c r="G322" s="28" t="str">
        <f>'20.CR IFRS'!A24</f>
        <v>Frais de communication</v>
      </c>
      <c r="H322" s="28" t="str">
        <f>'20.CR IFRS'!B24</f>
        <v>Telephone / Internet</v>
      </c>
      <c r="I322" s="31">
        <f>'20.CR IFRS'!C24</f>
        <v>600000</v>
      </c>
      <c r="J322" s="31">
        <f>'20.CR IFRS'!D24</f>
        <v>600000</v>
      </c>
      <c r="K322" s="31">
        <f>'20.CR IFRS'!E24</f>
        <v>600000</v>
      </c>
    </row>
    <row r="323" spans="1:11">
      <c r="A323" s="28" t="str">
        <f>'16.CR'!A27</f>
        <v xml:space="preserve">Frais de transport </v>
      </c>
      <c r="B323" s="28" t="str">
        <f>'16.CR'!B27</f>
        <v>Carburant</v>
      </c>
      <c r="C323" s="31">
        <f>'16.CR'!C27</f>
        <v>600000</v>
      </c>
      <c r="D323" s="31">
        <f>'16.CR'!D27</f>
        <v>600000</v>
      </c>
      <c r="E323" s="31">
        <f>'16.CR'!E27</f>
        <v>600000</v>
      </c>
      <c r="G323" s="28" t="str">
        <f>'20.CR IFRS'!A25</f>
        <v xml:space="preserve">Publicité et Marketing </v>
      </c>
      <c r="H323" s="28">
        <f>'20.CR IFRS'!B25</f>
        <v>0</v>
      </c>
      <c r="I323" s="31">
        <f>'20.CR IFRS'!C25</f>
        <v>0</v>
      </c>
      <c r="J323" s="31">
        <f>'20.CR IFRS'!D25</f>
        <v>0</v>
      </c>
      <c r="K323" s="31">
        <f>'20.CR IFRS'!E25</f>
        <v>0</v>
      </c>
    </row>
    <row r="324" spans="1:11">
      <c r="A324" s="28" t="str">
        <f>'16.CR'!A28</f>
        <v>Frais de communication</v>
      </c>
      <c r="B324" s="28" t="str">
        <f>'16.CR'!B28</f>
        <v>Telephone / Internet</v>
      </c>
      <c r="C324" s="31">
        <f>'16.CR'!C28</f>
        <v>600000</v>
      </c>
      <c r="D324" s="31">
        <f>'16.CR'!D28</f>
        <v>600000</v>
      </c>
      <c r="E324" s="31">
        <f>'16.CR'!E28</f>
        <v>600000</v>
      </c>
      <c r="G324" s="28" t="str">
        <f>'20.CR IFRS'!A26</f>
        <v>Location</v>
      </c>
      <c r="H324" s="28" t="str">
        <f>'20.CR IFRS'!B26</f>
        <v>Loyer</v>
      </c>
      <c r="I324" s="31">
        <f>'20.CR IFRS'!C26</f>
        <v>3000000</v>
      </c>
      <c r="J324" s="31">
        <f>'20.CR IFRS'!D26</f>
        <v>3000000</v>
      </c>
      <c r="K324" s="31">
        <f>'20.CR IFRS'!E26</f>
        <v>3000000</v>
      </c>
    </row>
    <row r="325" spans="1:11">
      <c r="A325" s="28" t="str">
        <f>'16.CR'!A29</f>
        <v xml:space="preserve">Publicité et Marketing </v>
      </c>
      <c r="B325" s="28">
        <f>'16.CR'!B29</f>
        <v>0</v>
      </c>
      <c r="C325" s="31">
        <f>'16.CR'!C29</f>
        <v>0</v>
      </c>
      <c r="D325" s="31">
        <f>'16.CR'!D29</f>
        <v>0</v>
      </c>
      <c r="E325" s="31">
        <f>'16.CR'!E29</f>
        <v>0</v>
      </c>
      <c r="G325" s="28" t="str">
        <f>'20.CR IFRS'!A27</f>
        <v>Assurance</v>
      </c>
      <c r="H325" s="28" t="str">
        <f>'20.CR IFRS'!B27</f>
        <v>Assurance voiture</v>
      </c>
      <c r="I325" s="31">
        <f>'20.CR IFRS'!C27</f>
        <v>144000</v>
      </c>
      <c r="J325" s="31">
        <f>'20.CR IFRS'!D27</f>
        <v>144000</v>
      </c>
      <c r="K325" s="31">
        <f>'20.CR IFRS'!E27</f>
        <v>144000</v>
      </c>
    </row>
    <row r="326" spans="1:11">
      <c r="A326" s="28" t="str">
        <f>'16.CR'!A30</f>
        <v>Location</v>
      </c>
      <c r="B326" s="28" t="str">
        <f>'16.CR'!B30</f>
        <v>Loyer</v>
      </c>
      <c r="C326" s="31">
        <f>'16.CR'!C30</f>
        <v>3000000</v>
      </c>
      <c r="D326" s="31">
        <f>'16.CR'!D30</f>
        <v>3000000</v>
      </c>
      <c r="E326" s="31">
        <f>'16.CR'!E30</f>
        <v>3000000</v>
      </c>
      <c r="G326" s="28" t="str">
        <f>'20.CR IFRS'!A28</f>
        <v xml:space="preserve">Prestations et Honoraires </v>
      </c>
      <c r="H326" s="28" t="str">
        <f>'20.CR IFRS'!B28</f>
        <v>Frais Infogérance</v>
      </c>
      <c r="I326" s="31">
        <f>'20.CR IFRS'!C28</f>
        <v>380000</v>
      </c>
      <c r="J326" s="31">
        <f>'20.CR IFRS'!D28</f>
        <v>380000</v>
      </c>
      <c r="K326" s="31">
        <f>'20.CR IFRS'!E28</f>
        <v>380000</v>
      </c>
    </row>
    <row r="327" spans="1:11">
      <c r="A327" s="28" t="str">
        <f>'16.CR'!A31</f>
        <v>Assurance</v>
      </c>
      <c r="B327" s="28" t="str">
        <f>'16.CR'!B31</f>
        <v>Assurance voiture</v>
      </c>
      <c r="C327" s="31">
        <f>'16.CR'!C31</f>
        <v>144000</v>
      </c>
      <c r="D327" s="31">
        <f>'16.CR'!D31</f>
        <v>144000</v>
      </c>
      <c r="E327" s="31">
        <f>'16.CR'!E31</f>
        <v>144000</v>
      </c>
      <c r="G327" s="28" t="str">
        <f>'20.CR IFRS'!A29</f>
        <v xml:space="preserve">Autres provisions </v>
      </c>
      <c r="H327" s="28">
        <f>'20.CR IFRS'!B29</f>
        <v>0</v>
      </c>
      <c r="I327" s="31">
        <f>'20.CR IFRS'!C29</f>
        <v>0</v>
      </c>
      <c r="J327" s="31">
        <f>'20.CR IFRS'!D29</f>
        <v>0</v>
      </c>
      <c r="K327" s="31">
        <f>'20.CR IFRS'!E29</f>
        <v>0</v>
      </c>
    </row>
    <row r="328" spans="1:11">
      <c r="A328" s="28" t="str">
        <f>'16.CR'!A32</f>
        <v xml:space="preserve">Prestations et Honoraires </v>
      </c>
      <c r="B328" s="28" t="str">
        <f>'16.CR'!B32</f>
        <v>Frais Infogérance</v>
      </c>
      <c r="C328" s="31">
        <f>'16.CR'!C32</f>
        <v>380000</v>
      </c>
      <c r="D328" s="31">
        <f>'16.CR'!D32</f>
        <v>380000</v>
      </c>
      <c r="E328" s="31">
        <f>'16.CR'!E32</f>
        <v>380000</v>
      </c>
      <c r="G328" s="28" t="str">
        <f>'20.CR IFRS'!A30</f>
        <v>Taxe et redevance</v>
      </c>
      <c r="H328" s="28" t="str">
        <f>'20.CR IFRS'!B30</f>
        <v>Timbre</v>
      </c>
      <c r="I328" s="31" t="e">
        <f>'20.CR IFRS'!C30</f>
        <v>#VALUE!</v>
      </c>
      <c r="J328" s="31" t="e">
        <f>'20.CR IFRS'!D30</f>
        <v>#VALUE!</v>
      </c>
      <c r="K328" s="31" t="e">
        <f>'20.CR IFRS'!E30</f>
        <v>#VALUE!</v>
      </c>
    </row>
    <row r="329" spans="1:11">
      <c r="A329" s="28" t="str">
        <f>'16.CR'!A33</f>
        <v xml:space="preserve">Autres provisions </v>
      </c>
      <c r="B329" s="28">
        <f>'16.CR'!B33</f>
        <v>0</v>
      </c>
      <c r="C329" s="31">
        <f>'16.CR'!C33</f>
        <v>0</v>
      </c>
      <c r="D329" s="31">
        <f>'16.CR'!D33</f>
        <v>0</v>
      </c>
      <c r="E329" s="31">
        <f>'16.CR'!E33</f>
        <v>0</v>
      </c>
      <c r="G329" s="28" t="str">
        <f>'20.CR IFRS'!A31</f>
        <v xml:space="preserve">Salaires et Avantages </v>
      </c>
      <c r="H329" s="28" t="str">
        <f>'20.CR IFRS'!B31</f>
        <v>Salaire personnel</v>
      </c>
      <c r="I329" s="31" t="e">
        <f>'20.CR IFRS'!C31</f>
        <v>#VALUE!</v>
      </c>
      <c r="J329" s="31" t="e">
        <f>'20.CR IFRS'!D31</f>
        <v>#VALUE!</v>
      </c>
      <c r="K329" s="31" t="e">
        <f>'20.CR IFRS'!E31</f>
        <v>#VALUE!</v>
      </c>
    </row>
    <row r="330" spans="1:11">
      <c r="A330" s="28" t="str">
        <f>'16.CR'!A34</f>
        <v>Taxe et redevance</v>
      </c>
      <c r="B330" s="28" t="str">
        <f>'16.CR'!B34</f>
        <v>Timbre</v>
      </c>
      <c r="C330" s="31" t="e">
        <f>'16.CR'!C34</f>
        <v>#VALUE!</v>
      </c>
      <c r="D330" s="31" t="e">
        <f>'16.CR'!D34</f>
        <v>#VALUE!</v>
      </c>
      <c r="E330" s="31" t="e">
        <f>'16.CR'!E34</f>
        <v>#VALUE!</v>
      </c>
      <c r="G330" s="27" t="str">
        <f>'20.CR IFRS'!A32</f>
        <v>Charges d'exploitation</v>
      </c>
      <c r="H330" s="27" t="str">
        <f>'20.CR IFRS'!B32</f>
        <v>Charges d'exploitation</v>
      </c>
      <c r="I330" s="33" t="e">
        <f>'20.CR IFRS'!C32</f>
        <v>#VALUE!</v>
      </c>
      <c r="J330" s="33" t="e">
        <f>'20.CR IFRS'!D32</f>
        <v>#VALUE!</v>
      </c>
      <c r="K330" s="33" t="e">
        <f>'20.CR IFRS'!E32</f>
        <v>#VALUE!</v>
      </c>
    </row>
    <row r="331" spans="1:11">
      <c r="A331" s="28" t="str">
        <f>'16.CR'!A35</f>
        <v xml:space="preserve">Salaires et Avantages </v>
      </c>
      <c r="B331" s="28" t="str">
        <f>'16.CR'!B35</f>
        <v>Salaire personnel</v>
      </c>
      <c r="C331" s="31" t="e">
        <f>'16.CR'!C35</f>
        <v>#VALUE!</v>
      </c>
      <c r="D331" s="31" t="e">
        <f>'16.CR'!D35</f>
        <v>#VALUE!</v>
      </c>
      <c r="E331" s="31" t="e">
        <f>'16.CR'!E35</f>
        <v>#VALUE!</v>
      </c>
      <c r="G331" s="27" t="str">
        <f>'20.CR IFRS'!A33</f>
        <v>EBITDA</v>
      </c>
      <c r="H331" s="27" t="str">
        <f>'20.CR IFRS'!B33</f>
        <v>EBITDA</v>
      </c>
      <c r="I331" s="33" t="e">
        <f>'20.CR IFRS'!C33</f>
        <v>#VALUE!</v>
      </c>
      <c r="J331" s="33" t="e">
        <f>'20.CR IFRS'!D33</f>
        <v>#VALUE!</v>
      </c>
      <c r="K331" s="33" t="e">
        <f>'20.CR IFRS'!E33</f>
        <v>#VALUE!</v>
      </c>
    </row>
    <row r="332" spans="1:11">
      <c r="A332" s="27" t="str">
        <f>'16.CR'!A36</f>
        <v>Total charges d'exploitation</v>
      </c>
      <c r="B332" s="27" t="str">
        <f>'16.CR'!B36</f>
        <v>Total charges d'exploitation</v>
      </c>
      <c r="C332" s="33" t="e">
        <f>'16.CR'!C36</f>
        <v>#VALUE!</v>
      </c>
      <c r="D332" s="33" t="e">
        <f>'16.CR'!D36</f>
        <v>#VALUE!</v>
      </c>
      <c r="E332" s="33" t="e">
        <f>'16.CR'!E36</f>
        <v>#VALUE!</v>
      </c>
      <c r="G332" s="130" t="str">
        <f>'20.CR IFRS'!A34</f>
        <v>Taux d'EBITDA</v>
      </c>
      <c r="H332" s="130" t="str">
        <f>'20.CR IFRS'!B34</f>
        <v>Taux d'EBITDA</v>
      </c>
      <c r="I332" s="131" t="e">
        <f>'20.CR IFRS'!C34</f>
        <v>#VALUE!</v>
      </c>
      <c r="J332" s="131" t="e">
        <f>'20.CR IFRS'!D34</f>
        <v>#VALUE!</v>
      </c>
      <c r="K332" s="131" t="e">
        <f>'20.CR IFRS'!E34</f>
        <v>#VALUE!</v>
      </c>
    </row>
    <row r="333" spans="1:11" ht="15">
      <c r="A333"/>
      <c r="B333"/>
      <c r="C333"/>
      <c r="D333"/>
      <c r="E333"/>
      <c r="G333" s="28" t="str">
        <f>'20.CR IFRS'!A35</f>
        <v>Amortissement et dépréciation</v>
      </c>
      <c r="H333" s="28" t="str">
        <f>'20.CR IFRS'!B35</f>
        <v>Amortissement et dépréciation</v>
      </c>
      <c r="I333" s="31" t="e">
        <f>'20.CR IFRS'!C35</f>
        <v>#VALUE!</v>
      </c>
      <c r="J333" s="31" t="e">
        <f>'20.CR IFRS'!D35</f>
        <v>#VALUE!</v>
      </c>
      <c r="K333" s="31" t="e">
        <f>'20.CR IFRS'!E35</f>
        <v>#VALUE!</v>
      </c>
    </row>
    <row r="334" spans="1:11">
      <c r="A334" s="27" t="str">
        <f>'16.CR'!A38</f>
        <v>Résultat d'activité ordinaire</v>
      </c>
      <c r="B334" s="27" t="str">
        <f>'16.CR'!B38</f>
        <v>Résultat d'activité ordinaire</v>
      </c>
      <c r="C334" s="33" t="e">
        <f>'16.CR'!C38</f>
        <v>#VALUE!</v>
      </c>
      <c r="D334" s="33" t="e">
        <f>'16.CR'!D38</f>
        <v>#VALUE!</v>
      </c>
      <c r="E334" s="33" t="e">
        <f>'16.CR'!E38</f>
        <v>#VALUE!</v>
      </c>
      <c r="G334" s="27" t="str">
        <f>'20.CR IFRS'!A36</f>
        <v>EBIT</v>
      </c>
      <c r="H334" s="27" t="str">
        <f>'20.CR IFRS'!B36</f>
        <v>EBIT</v>
      </c>
      <c r="I334" s="33" t="e">
        <f>'20.CR IFRS'!C36</f>
        <v>#VALUE!</v>
      </c>
      <c r="J334" s="33" t="e">
        <f>'20.CR IFRS'!D36</f>
        <v>#VALUE!</v>
      </c>
      <c r="K334" s="33" t="e">
        <f>'20.CR IFRS'!E36</f>
        <v>#VALUE!</v>
      </c>
    </row>
    <row r="335" spans="1:11">
      <c r="A335" s="28" t="str">
        <f>'16.CR'!A39</f>
        <v>Amortissement</v>
      </c>
      <c r="B335" s="28" t="str">
        <f>'16.CR'!B39</f>
        <v>Amortissement</v>
      </c>
      <c r="C335" s="31" t="e">
        <f>'16.CR'!C39</f>
        <v>#VALUE!</v>
      </c>
      <c r="D335" s="31" t="e">
        <f>'16.CR'!D39</f>
        <v>#VALUE!</v>
      </c>
      <c r="E335" s="31" t="e">
        <f>'16.CR'!E39</f>
        <v>#VALUE!</v>
      </c>
      <c r="G335" s="28" t="str">
        <f>'20.CR IFRS'!A37</f>
        <v>Charges financières</v>
      </c>
      <c r="H335" s="28" t="str">
        <f>'20.CR IFRS'!B37</f>
        <v>Charges financières</v>
      </c>
      <c r="I335" s="31">
        <f>'20.CR IFRS'!C37</f>
        <v>293316.92134666548</v>
      </c>
      <c r="J335" s="31">
        <f>'20.CR IFRS'!D37</f>
        <v>4784.6979957902449</v>
      </c>
      <c r="K335" s="31">
        <f>'20.CR IFRS'!E37</f>
        <v>2495.3688112016121</v>
      </c>
    </row>
    <row r="336" spans="1:11">
      <c r="A336" s="28" t="str">
        <f>'16.CR'!A40</f>
        <v>Frais financier</v>
      </c>
      <c r="B336" s="28" t="str">
        <f>'16.CR'!B40</f>
        <v>Frais financier</v>
      </c>
      <c r="C336" s="31">
        <f>'16.CR'!C40</f>
        <v>293316.92134666548</v>
      </c>
      <c r="D336" s="31">
        <f>'16.CR'!D40</f>
        <v>4784.6979957902449</v>
      </c>
      <c r="E336" s="31">
        <f>'16.CR'!E40</f>
        <v>2495.3688112016121</v>
      </c>
      <c r="G336" s="27" t="str">
        <f>'20.CR IFRS'!A38</f>
        <v>Total des charges</v>
      </c>
      <c r="H336" s="27" t="str">
        <f>'20.CR IFRS'!B38</f>
        <v>Total des charges</v>
      </c>
      <c r="I336" s="33" t="e">
        <f>'20.CR IFRS'!C38</f>
        <v>#VALUE!</v>
      </c>
      <c r="J336" s="33" t="e">
        <f>'20.CR IFRS'!D38</f>
        <v>#VALUE!</v>
      </c>
      <c r="K336" s="33" t="e">
        <f>'20.CR IFRS'!E38</f>
        <v>#VALUE!</v>
      </c>
    </row>
    <row r="337" spans="1:13">
      <c r="A337" s="27" t="str">
        <f>'16.CR'!A41</f>
        <v>Résultat d'activité avant impôts</v>
      </c>
      <c r="B337" s="27" t="str">
        <f>'16.CR'!B41</f>
        <v>Résultat d'activité avant impôts</v>
      </c>
      <c r="C337" s="33" t="e">
        <f>'16.CR'!C41</f>
        <v>#VALUE!</v>
      </c>
      <c r="D337" s="33" t="e">
        <f>'16.CR'!D41</f>
        <v>#VALUE!</v>
      </c>
      <c r="E337" s="33" t="e">
        <f>'16.CR'!E41</f>
        <v>#VALUE!</v>
      </c>
      <c r="G337" s="27" t="str">
        <f>'20.CR IFRS'!A39</f>
        <v>Résultat av. Impôt</v>
      </c>
      <c r="H337" s="27" t="str">
        <f>'20.CR IFRS'!B39</f>
        <v>Résultat av. Impôt</v>
      </c>
      <c r="I337" s="33" t="e">
        <f>'20.CR IFRS'!C39</f>
        <v>#VALUE!</v>
      </c>
      <c r="J337" s="33" t="e">
        <f>'20.CR IFRS'!D39</f>
        <v>#VALUE!</v>
      </c>
      <c r="K337" s="33" t="e">
        <f>'20.CR IFRS'!E39</f>
        <v>#VALUE!</v>
      </c>
    </row>
    <row r="338" spans="1:13">
      <c r="A338" s="28" t="str">
        <f>'16.CR'!A42</f>
        <v>Impôt sur les entreprises</v>
      </c>
      <c r="B338" s="28" t="str">
        <f>'16.CR'!B42</f>
        <v>Impôt sur les entreprises</v>
      </c>
      <c r="C338" s="31" t="e">
        <f>'16.CR'!C42</f>
        <v>#VALUE!</v>
      </c>
      <c r="D338" s="31" t="e">
        <f>'16.CR'!D42</f>
        <v>#VALUE!</v>
      </c>
      <c r="E338" s="31" t="e">
        <f>'16.CR'!E42</f>
        <v>#VALUE!</v>
      </c>
      <c r="G338" s="28" t="str">
        <f>'20.CR IFRS'!A40</f>
        <v>Impôt sur les entreprises</v>
      </c>
      <c r="H338" s="28" t="str">
        <f>'20.CR IFRS'!B40</f>
        <v>Impôt sur les entreprises</v>
      </c>
      <c r="I338" s="31" t="e">
        <f>'20.CR IFRS'!C40</f>
        <v>#VALUE!</v>
      </c>
      <c r="J338" s="31" t="e">
        <f>'20.CR IFRS'!D40</f>
        <v>#VALUE!</v>
      </c>
      <c r="K338" s="31" t="e">
        <f>'20.CR IFRS'!E40</f>
        <v>#VALUE!</v>
      </c>
    </row>
    <row r="339" spans="1:13">
      <c r="A339" s="27" t="str">
        <f>'16.CR'!A43</f>
        <v xml:space="preserve">Profit ou perte </v>
      </c>
      <c r="B339" s="27" t="str">
        <f>'16.CR'!B43</f>
        <v xml:space="preserve">Profit ou perte </v>
      </c>
      <c r="C339" s="33" t="e">
        <f>'16.CR'!C43</f>
        <v>#VALUE!</v>
      </c>
      <c r="D339" s="33" t="e">
        <f>'16.CR'!D43</f>
        <v>#VALUE!</v>
      </c>
      <c r="E339" s="33" t="e">
        <f>'16.CR'!E43</f>
        <v>#VALUE!</v>
      </c>
      <c r="G339" s="27" t="str">
        <f>'20.CR IFRS'!A41</f>
        <v>Résultat net</v>
      </c>
      <c r="H339" s="27" t="str">
        <f>'20.CR IFRS'!B41</f>
        <v>Résultat net</v>
      </c>
      <c r="I339" s="33" t="e">
        <f>'20.CR IFRS'!C41</f>
        <v>#VALUE!</v>
      </c>
      <c r="J339" s="33" t="e">
        <f>'20.CR IFRS'!D41</f>
        <v>#VALUE!</v>
      </c>
      <c r="K339" s="33" t="e">
        <f>'20.CR IFRS'!E41</f>
        <v>#VALUE!</v>
      </c>
    </row>
    <row r="340" spans="1:13">
      <c r="A340" s="130" t="str">
        <f>'16.CR'!A44</f>
        <v>Taux de profitabilité</v>
      </c>
      <c r="B340" s="130" t="str">
        <f>'16.CR'!B44</f>
        <v>Taux de profitabilité</v>
      </c>
      <c r="C340" s="131" t="e">
        <f>'16.CR'!C44</f>
        <v>#VALUE!</v>
      </c>
      <c r="D340" s="131" t="e">
        <f>'16.CR'!D44</f>
        <v>#VALUE!</v>
      </c>
      <c r="E340" s="131" t="e">
        <f>'16.CR'!E44</f>
        <v>#VALUE!</v>
      </c>
      <c r="G340" s="130" t="str">
        <f>'20.CR IFRS'!A42</f>
        <v>Taux de profitabilité</v>
      </c>
      <c r="H340" s="130" t="str">
        <f>'20.CR IFRS'!B42</f>
        <v>Taux de profitabilité</v>
      </c>
      <c r="I340" s="131" t="e">
        <f>'20.CR IFRS'!C42</f>
        <v>#VALUE!</v>
      </c>
      <c r="J340" s="131" t="e">
        <f>'20.CR IFRS'!D42</f>
        <v>#VALUE!</v>
      </c>
      <c r="K340" s="131" t="e">
        <f>'20.CR IFRS'!E42</f>
        <v>#VALUE!</v>
      </c>
    </row>
    <row r="341" spans="1:13">
      <c r="A341" s="27" t="str">
        <f>'16.CR'!A45</f>
        <v>Cash-flow</v>
      </c>
      <c r="B341" s="27" t="str">
        <f>'16.CR'!B45</f>
        <v>Cash-flow</v>
      </c>
      <c r="C341" s="33" t="e">
        <f>'16.CR'!C45</f>
        <v>#VALUE!</v>
      </c>
      <c r="D341" s="33" t="e">
        <f>'16.CR'!D45</f>
        <v>#VALUE!</v>
      </c>
      <c r="E341" s="33" t="e">
        <f>'16.CR'!E45</f>
        <v>#VALUE!</v>
      </c>
      <c r="G341" s="28" t="str">
        <f>'20.CR IFRS'!A43</f>
        <v>Amortissement et dépréciation</v>
      </c>
      <c r="H341" s="28" t="str">
        <f>'20.CR IFRS'!B43</f>
        <v>Amortissement et dépréciation</v>
      </c>
      <c r="I341" s="31" t="e">
        <f>'20.CR IFRS'!C43</f>
        <v>#VALUE!</v>
      </c>
      <c r="J341" s="31" t="e">
        <f>'20.CR IFRS'!D43</f>
        <v>#VALUE!</v>
      </c>
      <c r="K341" s="31" t="e">
        <f>'20.CR IFRS'!E43</f>
        <v>#VALUE!</v>
      </c>
    </row>
    <row r="342" spans="1:13">
      <c r="G342" s="27" t="str">
        <f>'20.CR IFRS'!A44</f>
        <v>CAF</v>
      </c>
      <c r="H342" s="27" t="str">
        <f>'20.CR IFRS'!B44</f>
        <v>CAF</v>
      </c>
      <c r="I342" s="33" t="e">
        <f>'20.CR IFRS'!C44</f>
        <v>#VALUE!</v>
      </c>
      <c r="J342" s="33" t="e">
        <f>'20.CR IFRS'!D44</f>
        <v>#VALUE!</v>
      </c>
      <c r="K342" s="33" t="e">
        <f>'20.CR IFRS'!E44</f>
        <v>#VALUE!</v>
      </c>
    </row>
    <row r="345" spans="1:13">
      <c r="A345" s="271"/>
      <c r="B345" s="272"/>
      <c r="C345" s="272"/>
      <c r="D345" s="272"/>
      <c r="E345" s="272"/>
      <c r="F345" s="272"/>
      <c r="G345" s="272"/>
    </row>
    <row r="346" spans="1:13" ht="21.75" customHeight="1" thickBot="1">
      <c r="A346" s="337" t="s">
        <v>342</v>
      </c>
      <c r="B346" s="337"/>
      <c r="C346" s="337"/>
      <c r="D346" s="337"/>
      <c r="E346" s="337"/>
      <c r="F346" s="337"/>
      <c r="G346" s="337"/>
    </row>
    <row r="347" spans="1:13" ht="15" thickBot="1">
      <c r="A347" s="218"/>
      <c r="B347" s="219" t="s">
        <v>102</v>
      </c>
      <c r="C347" s="220"/>
      <c r="D347" s="220"/>
      <c r="E347" s="220"/>
      <c r="F347" s="220"/>
      <c r="G347" s="221"/>
      <c r="H347" s="220"/>
      <c r="I347" s="220"/>
      <c r="J347" s="220"/>
      <c r="K347" s="220"/>
      <c r="L347" s="220"/>
      <c r="M347" s="226"/>
    </row>
    <row r="348" spans="1:13" ht="15" thickBot="1">
      <c r="A348" s="282" t="s">
        <v>9</v>
      </c>
      <c r="B348" s="222">
        <v>1</v>
      </c>
      <c r="C348" s="223">
        <v>2</v>
      </c>
      <c r="D348" s="223">
        <v>3</v>
      </c>
      <c r="E348" s="223">
        <v>4</v>
      </c>
      <c r="F348" s="223">
        <v>5</v>
      </c>
      <c r="G348" s="224">
        <v>6</v>
      </c>
      <c r="H348" s="223">
        <v>7</v>
      </c>
      <c r="I348" s="223">
        <v>8</v>
      </c>
      <c r="J348" s="223">
        <v>9</v>
      </c>
      <c r="K348" s="223">
        <v>10</v>
      </c>
      <c r="L348" s="223">
        <v>11</v>
      </c>
      <c r="M348" s="227">
        <v>12</v>
      </c>
    </row>
    <row r="349" spans="1:13" ht="15" thickBot="1">
      <c r="A349" s="283" t="s">
        <v>284</v>
      </c>
      <c r="B349" s="284">
        <f>'15.Tre.Men'!C5</f>
        <v>0</v>
      </c>
      <c r="C349" s="285" t="e">
        <f>'15.Tre.Men'!D5</f>
        <v>#VALUE!</v>
      </c>
      <c r="D349" s="285" t="e">
        <f>'15.Tre.Men'!E5</f>
        <v>#VALUE!</v>
      </c>
      <c r="E349" s="285" t="e">
        <f>'15.Tre.Men'!F5</f>
        <v>#VALUE!</v>
      </c>
      <c r="F349" s="285" t="e">
        <f>'15.Tre.Men'!G5</f>
        <v>#VALUE!</v>
      </c>
      <c r="G349" s="286" t="e">
        <f>'15.Tre.Men'!H5</f>
        <v>#VALUE!</v>
      </c>
      <c r="H349" s="284" t="e">
        <f>'15.Tre.Men'!I5</f>
        <v>#VALUE!</v>
      </c>
      <c r="I349" s="285" t="e">
        <f>'15.Tre.Men'!J5</f>
        <v>#VALUE!</v>
      </c>
      <c r="J349" s="285" t="e">
        <f>'15.Tre.Men'!K5</f>
        <v>#VALUE!</v>
      </c>
      <c r="K349" s="285" t="e">
        <f>'15.Tre.Men'!L5</f>
        <v>#VALUE!</v>
      </c>
      <c r="L349" s="285" t="e">
        <f>'15.Tre.Men'!M5</f>
        <v>#VALUE!</v>
      </c>
      <c r="M349" s="308" t="e">
        <f>'15.Tre.Men'!N5</f>
        <v>#VALUE!</v>
      </c>
    </row>
    <row r="350" spans="1:13" ht="15" thickBot="1">
      <c r="A350" s="287" t="s">
        <v>103</v>
      </c>
      <c r="B350" s="288"/>
      <c r="C350" s="289"/>
      <c r="D350" s="289"/>
      <c r="E350" s="289"/>
      <c r="F350" s="289"/>
      <c r="G350" s="290"/>
      <c r="H350" s="288"/>
      <c r="I350" s="289"/>
      <c r="J350" s="289"/>
      <c r="K350" s="289"/>
      <c r="L350" s="289"/>
      <c r="M350" s="309"/>
    </row>
    <row r="351" spans="1:13" ht="15" thickBot="1">
      <c r="A351" s="225" t="s">
        <v>104</v>
      </c>
      <c r="B351" s="291" t="e">
        <f>'15.Tre.Men'!C9</f>
        <v>#VALUE!</v>
      </c>
      <c r="C351" s="291" t="e">
        <f>'15.Tre.Men'!D9</f>
        <v>#VALUE!</v>
      </c>
      <c r="D351" s="291" t="e">
        <f>'15.Tre.Men'!E9</f>
        <v>#VALUE!</v>
      </c>
      <c r="E351" s="291" t="e">
        <f>'15.Tre.Men'!F9</f>
        <v>#VALUE!</v>
      </c>
      <c r="F351" s="291" t="e">
        <f>'15.Tre.Men'!G9</f>
        <v>#VALUE!</v>
      </c>
      <c r="G351" s="292" t="e">
        <f>'15.Tre.Men'!H9</f>
        <v>#VALUE!</v>
      </c>
      <c r="H351" s="293" t="e">
        <f>'15.Tre.Men'!I9</f>
        <v>#VALUE!</v>
      </c>
      <c r="I351" s="291" t="e">
        <f>'15.Tre.Men'!J9</f>
        <v>#VALUE!</v>
      </c>
      <c r="J351" s="291" t="e">
        <f>'15.Tre.Men'!K9</f>
        <v>#VALUE!</v>
      </c>
      <c r="K351" s="291" t="e">
        <f>'15.Tre.Men'!L9</f>
        <v>#VALUE!</v>
      </c>
      <c r="L351" s="291" t="e">
        <f>'15.Tre.Men'!M9</f>
        <v>#VALUE!</v>
      </c>
      <c r="M351" s="310" t="e">
        <f>'15.Tre.Men'!N9</f>
        <v>#VALUE!</v>
      </c>
    </row>
    <row r="352" spans="1:13" ht="15" thickBot="1">
      <c r="A352" s="287" t="s">
        <v>105</v>
      </c>
      <c r="B352" s="288"/>
      <c r="C352" s="289"/>
      <c r="D352" s="289"/>
      <c r="E352" s="289"/>
      <c r="F352" s="289"/>
      <c r="G352" s="290"/>
      <c r="H352" s="288"/>
      <c r="I352" s="289"/>
      <c r="J352" s="289"/>
      <c r="K352" s="289"/>
      <c r="L352" s="289"/>
      <c r="M352" s="309"/>
    </row>
    <row r="353" spans="1:13" ht="15" thickBot="1">
      <c r="A353" s="225" t="s">
        <v>106</v>
      </c>
      <c r="B353" s="291">
        <f>'[1]8.TRM'!D69</f>
        <v>0</v>
      </c>
      <c r="C353" s="291">
        <f>'[1]8.TRM'!E69</f>
        <v>0</v>
      </c>
      <c r="D353" s="291">
        <f>'[1]8.TRM'!F69</f>
        <v>0</v>
      </c>
      <c r="E353" s="291">
        <f>'[1]8.TRM'!G69</f>
        <v>0</v>
      </c>
      <c r="F353" s="291">
        <f>'[1]8.TRM'!H69</f>
        <v>0</v>
      </c>
      <c r="G353" s="292">
        <f>'[1]8.TRM'!I69</f>
        <v>0</v>
      </c>
      <c r="H353" s="293">
        <f>'[1]8.TRM'!J69</f>
        <v>0</v>
      </c>
      <c r="I353" s="291">
        <f>'[1]8.TRM'!K69</f>
        <v>0</v>
      </c>
      <c r="J353" s="291">
        <f>'[1]8.TRM'!L69</f>
        <v>0</v>
      </c>
      <c r="K353" s="291">
        <f>'[1]8.TRM'!M69</f>
        <v>0</v>
      </c>
      <c r="L353" s="291">
        <f>'[1]8.TRM'!N69</f>
        <v>0</v>
      </c>
      <c r="M353" s="310">
        <f>'[1]8.TRM'!O69</f>
        <v>0</v>
      </c>
    </row>
    <row r="354" spans="1:13" ht="15" thickBot="1">
      <c r="A354" s="287" t="s">
        <v>285</v>
      </c>
      <c r="B354" s="288"/>
      <c r="C354" s="289"/>
      <c r="D354" s="289"/>
      <c r="E354" s="289"/>
      <c r="F354" s="289"/>
      <c r="G354" s="290"/>
      <c r="H354" s="288"/>
      <c r="I354" s="289"/>
      <c r="J354" s="289"/>
      <c r="K354" s="289"/>
      <c r="L354" s="289"/>
      <c r="M354" s="309"/>
    </row>
    <row r="355" spans="1:13" ht="15" thickBot="1">
      <c r="A355" s="225" t="s">
        <v>286</v>
      </c>
      <c r="B355" s="293">
        <f>'15.Tre.Men'!C13</f>
        <v>1567500</v>
      </c>
      <c r="C355" s="291">
        <f>'15.Tre.Men'!D13</f>
        <v>1567500</v>
      </c>
      <c r="D355" s="291">
        <f>'15.Tre.Men'!E13</f>
        <v>1567500</v>
      </c>
      <c r="E355" s="291">
        <f>'15.Tre.Men'!F13</f>
        <v>1567500</v>
      </c>
      <c r="F355" s="291">
        <f>'15.Tre.Men'!G13</f>
        <v>1567500</v>
      </c>
      <c r="G355" s="292">
        <f>'15.Tre.Men'!H13</f>
        <v>1567500</v>
      </c>
      <c r="H355" s="293">
        <f>'15.Tre.Men'!I13</f>
        <v>1567500</v>
      </c>
      <c r="I355" s="291">
        <f>'15.Tre.Men'!J13</f>
        <v>1567500</v>
      </c>
      <c r="J355" s="291">
        <f>'15.Tre.Men'!K13</f>
        <v>1567500</v>
      </c>
      <c r="K355" s="291">
        <f>'15.Tre.Men'!L13</f>
        <v>1567500</v>
      </c>
      <c r="L355" s="291">
        <f>'15.Tre.Men'!M13</f>
        <v>1567500</v>
      </c>
      <c r="M355" s="310">
        <f>'15.Tre.Men'!N13</f>
        <v>1567500</v>
      </c>
    </row>
    <row r="356" spans="1:13" ht="15" thickBot="1">
      <c r="A356" s="287" t="s">
        <v>287</v>
      </c>
      <c r="B356" s="288"/>
      <c r="C356" s="289"/>
      <c r="D356" s="289"/>
      <c r="E356" s="289"/>
      <c r="F356" s="289"/>
      <c r="G356" s="290"/>
      <c r="H356" s="288"/>
      <c r="I356" s="289"/>
      <c r="J356" s="289"/>
      <c r="K356" s="289"/>
      <c r="L356" s="289"/>
      <c r="M356" s="309"/>
    </row>
    <row r="357" spans="1:13" ht="15" thickBot="1">
      <c r="A357" s="225" t="s">
        <v>288</v>
      </c>
      <c r="B357" s="293">
        <f>'15.Tre.Men'!C15</f>
        <v>2749500</v>
      </c>
      <c r="C357" s="291">
        <f>'15.Tre.Men'!D15</f>
        <v>469500</v>
      </c>
      <c r="D357" s="291">
        <f>'15.Tre.Men'!E15</f>
        <v>469500</v>
      </c>
      <c r="E357" s="291">
        <f>'15.Tre.Men'!F15</f>
        <v>469500</v>
      </c>
      <c r="F357" s="291">
        <f>'15.Tre.Men'!G15</f>
        <v>469500</v>
      </c>
      <c r="G357" s="292">
        <f>'15.Tre.Men'!H15</f>
        <v>469500</v>
      </c>
      <c r="H357" s="293">
        <f>'15.Tre.Men'!I15</f>
        <v>469500</v>
      </c>
      <c r="I357" s="291">
        <f>'15.Tre.Men'!J15</f>
        <v>469500</v>
      </c>
      <c r="J357" s="291">
        <f>'15.Tre.Men'!K15</f>
        <v>469500</v>
      </c>
      <c r="K357" s="291">
        <f>'15.Tre.Men'!L15</f>
        <v>469500</v>
      </c>
      <c r="L357" s="291">
        <f>'15.Tre.Men'!M15</f>
        <v>469500</v>
      </c>
      <c r="M357" s="310">
        <f>'15.Tre.Men'!N15</f>
        <v>469500</v>
      </c>
    </row>
    <row r="358" spans="1:13" ht="15" thickBot="1">
      <c r="A358" s="225" t="s">
        <v>289</v>
      </c>
      <c r="B358" s="293" t="e">
        <f>'15.Tre.Men'!C16</f>
        <v>#VALUE!</v>
      </c>
      <c r="C358" s="291" t="e">
        <f>'15.Tre.Men'!D16</f>
        <v>#VALUE!</v>
      </c>
      <c r="D358" s="291" t="e">
        <f>'15.Tre.Men'!E16</f>
        <v>#VALUE!</v>
      </c>
      <c r="E358" s="291" t="e">
        <f>'15.Tre.Men'!F16</f>
        <v>#VALUE!</v>
      </c>
      <c r="F358" s="291" t="e">
        <f>'15.Tre.Men'!G16</f>
        <v>#VALUE!</v>
      </c>
      <c r="G358" s="292" t="e">
        <f>'15.Tre.Men'!H16</f>
        <v>#VALUE!</v>
      </c>
      <c r="H358" s="293" t="e">
        <f>'15.Tre.Men'!I16</f>
        <v>#VALUE!</v>
      </c>
      <c r="I358" s="291" t="e">
        <f>'15.Tre.Men'!J16</f>
        <v>#VALUE!</v>
      </c>
      <c r="J358" s="291" t="e">
        <f>'15.Tre.Men'!K16</f>
        <v>#VALUE!</v>
      </c>
      <c r="K358" s="291" t="e">
        <f>'15.Tre.Men'!L16</f>
        <v>#VALUE!</v>
      </c>
      <c r="L358" s="291" t="e">
        <f>'15.Tre.Men'!M16</f>
        <v>#VALUE!</v>
      </c>
      <c r="M358" s="310" t="e">
        <f>'15.Tre.Men'!N16</f>
        <v>#VALUE!</v>
      </c>
    </row>
    <row r="359" spans="1:13" ht="15" thickBot="1">
      <c r="A359" s="225" t="s">
        <v>290</v>
      </c>
      <c r="B359" s="293" t="e">
        <f>'15.Tre.Men'!C17</f>
        <v>#VALUE!</v>
      </c>
      <c r="C359" s="291" t="e">
        <f>'15.Tre.Men'!D17</f>
        <v>#VALUE!</v>
      </c>
      <c r="D359" s="291" t="e">
        <f>'15.Tre.Men'!E17</f>
        <v>#VALUE!</v>
      </c>
      <c r="E359" s="291" t="e">
        <f>'15.Tre.Men'!F17</f>
        <v>#VALUE!</v>
      </c>
      <c r="F359" s="291" t="e">
        <f>'15.Tre.Men'!G17</f>
        <v>#VALUE!</v>
      </c>
      <c r="G359" s="292" t="e">
        <f>'15.Tre.Men'!H17</f>
        <v>#VALUE!</v>
      </c>
      <c r="H359" s="293" t="e">
        <f>'15.Tre.Men'!I17</f>
        <v>#VALUE!</v>
      </c>
      <c r="I359" s="291" t="e">
        <f>'15.Tre.Men'!J17</f>
        <v>#VALUE!</v>
      </c>
      <c r="J359" s="291" t="e">
        <f>'15.Tre.Men'!K17</f>
        <v>#VALUE!</v>
      </c>
      <c r="K359" s="291" t="e">
        <f>'15.Tre.Men'!L17</f>
        <v>#VALUE!</v>
      </c>
      <c r="L359" s="291" t="e">
        <f>'15.Tre.Men'!M17</f>
        <v>#VALUE!</v>
      </c>
      <c r="M359" s="310" t="e">
        <f>'15.Tre.Men'!N17</f>
        <v>#VALUE!</v>
      </c>
    </row>
    <row r="360" spans="1:13" ht="15" thickBot="1">
      <c r="A360" s="294" t="s">
        <v>108</v>
      </c>
      <c r="B360" s="295">
        <f>'15.Tre.Men'!C19</f>
        <v>288928.55592455424</v>
      </c>
      <c r="C360" s="296">
        <f>'15.Tre.Men'!D19</f>
        <v>292299.38907700736</v>
      </c>
      <c r="D360" s="296">
        <f>'15.Tre.Men'!E19</f>
        <v>295709.5486162391</v>
      </c>
      <c r="E360" s="296">
        <f>'15.Tre.Men'!F19</f>
        <v>299159.49335009523</v>
      </c>
      <c r="F360" s="296">
        <f>'15.Tre.Men'!G19</f>
        <v>302649.68743917969</v>
      </c>
      <c r="G360" s="297">
        <f>'15.Tre.Men'!H19</f>
        <v>306180.60045930347</v>
      </c>
      <c r="H360" s="295">
        <f>'15.Tre.Men'!I19</f>
        <v>309752.70746466197</v>
      </c>
      <c r="I360" s="296">
        <f>'15.Tre.Men'!J19</f>
        <v>313366.4890517497</v>
      </c>
      <c r="J360" s="296">
        <f>'15.Tre.Men'!K19</f>
        <v>317022.43142402015</v>
      </c>
      <c r="K360" s="296">
        <f>'15.Tre.Men'!L19</f>
        <v>320721.02645730035</v>
      </c>
      <c r="L360" s="296">
        <f>'15.Tre.Men'!M19</f>
        <v>324462.77176596888</v>
      </c>
      <c r="M360" s="311">
        <f>'15.Tre.Men'!N19</f>
        <v>328248.17076990515</v>
      </c>
    </row>
    <row r="361" spans="1:13" ht="15" thickBot="1">
      <c r="A361" s="294" t="s">
        <v>109</v>
      </c>
      <c r="B361" s="295">
        <f>'15.Tre.Men'!C20</f>
        <v>43149.176837666666</v>
      </c>
      <c r="C361" s="296">
        <f>'15.Tre.Men'!D20</f>
        <v>39778.343685213535</v>
      </c>
      <c r="D361" s="296">
        <f>'15.Tre.Men'!E20</f>
        <v>36368.184145981781</v>
      </c>
      <c r="E361" s="296">
        <f>'15.Tre.Men'!F20</f>
        <v>32918.239412125651</v>
      </c>
      <c r="F361" s="296">
        <f>'15.Tre.Men'!G20</f>
        <v>29428.045323041213</v>
      </c>
      <c r="G361" s="297">
        <f>'15.Tre.Men'!H20</f>
        <v>25897.132302917449</v>
      </c>
      <c r="H361" s="295">
        <f>'15.Tre.Men'!I20</f>
        <v>22325.02529755891</v>
      </c>
      <c r="I361" s="296">
        <f>'15.Tre.Men'!J20</f>
        <v>18711.243710471186</v>
      </c>
      <c r="J361" s="296">
        <f>'15.Tre.Men'!K20</f>
        <v>15055.301338200774</v>
      </c>
      <c r="K361" s="296">
        <f>'15.Tre.Men'!L20</f>
        <v>11356.706304920539</v>
      </c>
      <c r="L361" s="296">
        <f>'15.Tre.Men'!M20</f>
        <v>7614.9609962520344</v>
      </c>
      <c r="M361" s="311">
        <f>'15.Tre.Men'!N20</f>
        <v>3829.5619923157305</v>
      </c>
    </row>
    <row r="362" spans="1:13" ht="15" thickBot="1">
      <c r="A362" s="294" t="s">
        <v>111</v>
      </c>
      <c r="B362" s="295">
        <f>'15.Tre.Men'!C21</f>
        <v>1944.724077971995</v>
      </c>
      <c r="C362" s="296">
        <f>'15.Tre.Men'!D21</f>
        <v>1944.724077971995</v>
      </c>
      <c r="D362" s="296">
        <f>'15.Tre.Men'!E21</f>
        <v>1944.724077971995</v>
      </c>
      <c r="E362" s="296">
        <f>'15.Tre.Men'!F21</f>
        <v>1944.724077971995</v>
      </c>
      <c r="F362" s="296">
        <f>'15.Tre.Men'!G21</f>
        <v>1944.724077971995</v>
      </c>
      <c r="G362" s="297">
        <f>'15.Tre.Men'!H21</f>
        <v>1944.724077971995</v>
      </c>
      <c r="H362" s="295">
        <f>'15.Tre.Men'!I21</f>
        <v>1944.724077971995</v>
      </c>
      <c r="I362" s="296">
        <f>'15.Tre.Men'!J21</f>
        <v>1944.724077971995</v>
      </c>
      <c r="J362" s="296">
        <f>'15.Tre.Men'!K21</f>
        <v>1944.724077971995</v>
      </c>
      <c r="K362" s="296">
        <f>'15.Tre.Men'!L21</f>
        <v>1944.724077971995</v>
      </c>
      <c r="L362" s="296">
        <f>'15.Tre.Men'!M21</f>
        <v>1944.724077971995</v>
      </c>
      <c r="M362" s="311">
        <f>'15.Tre.Men'!N21</f>
        <v>1944.724077971995</v>
      </c>
    </row>
    <row r="363" spans="1:13" ht="15" thickBot="1">
      <c r="A363" s="294" t="s">
        <v>112</v>
      </c>
      <c r="B363" s="295">
        <f>'15.Tre.Men'!C22</f>
        <v>573.75</v>
      </c>
      <c r="C363" s="296">
        <f>'15.Tre.Men'!D22</f>
        <v>573.75</v>
      </c>
      <c r="D363" s="296">
        <f>'15.Tre.Men'!E22</f>
        <v>573.75</v>
      </c>
      <c r="E363" s="296">
        <f>'15.Tre.Men'!F22</f>
        <v>573.75</v>
      </c>
      <c r="F363" s="296">
        <f>'15.Tre.Men'!G22</f>
        <v>573.75</v>
      </c>
      <c r="G363" s="297">
        <f>'15.Tre.Men'!H22</f>
        <v>573.75</v>
      </c>
      <c r="H363" s="295">
        <f>'15.Tre.Men'!I22</f>
        <v>573.75</v>
      </c>
      <c r="I363" s="296">
        <f>'15.Tre.Men'!J22</f>
        <v>573.75</v>
      </c>
      <c r="J363" s="296">
        <f>'15.Tre.Men'!K22</f>
        <v>573.75</v>
      </c>
      <c r="K363" s="296">
        <f>'15.Tre.Men'!L22</f>
        <v>573.75</v>
      </c>
      <c r="L363" s="296">
        <f>'15.Tre.Men'!M22</f>
        <v>573.75</v>
      </c>
      <c r="M363" s="311">
        <f>'15.Tre.Men'!N22</f>
        <v>573.75</v>
      </c>
    </row>
    <row r="364" spans="1:13" ht="15" thickBot="1">
      <c r="A364" s="225" t="s">
        <v>113</v>
      </c>
      <c r="B364" s="293">
        <f>'15.Tre.Men'!C23</f>
        <v>334596.2068401929</v>
      </c>
      <c r="C364" s="291">
        <f>'15.Tre.Men'!D23</f>
        <v>334596.2068401929</v>
      </c>
      <c r="D364" s="291">
        <f>'15.Tre.Men'!E23</f>
        <v>334596.2068401929</v>
      </c>
      <c r="E364" s="291">
        <f>'15.Tre.Men'!F23</f>
        <v>334596.2068401929</v>
      </c>
      <c r="F364" s="291">
        <f>'15.Tre.Men'!G23</f>
        <v>334596.2068401929</v>
      </c>
      <c r="G364" s="292">
        <f>'15.Tre.Men'!H23</f>
        <v>334596.2068401929</v>
      </c>
      <c r="H364" s="293">
        <f>'15.Tre.Men'!I23</f>
        <v>334596.2068401929</v>
      </c>
      <c r="I364" s="291">
        <f>'15.Tre.Men'!J23</f>
        <v>334596.2068401929</v>
      </c>
      <c r="J364" s="291">
        <f>'15.Tre.Men'!K23</f>
        <v>334596.2068401929</v>
      </c>
      <c r="K364" s="291">
        <f>'15.Tre.Men'!L23</f>
        <v>334596.2068401929</v>
      </c>
      <c r="L364" s="291">
        <f>'15.Tre.Men'!M23</f>
        <v>334596.2068401929</v>
      </c>
      <c r="M364" s="310">
        <f>'15.Tre.Men'!N23</f>
        <v>334596.2068401929</v>
      </c>
    </row>
    <row r="365" spans="1:13">
      <c r="A365" s="298" t="s">
        <v>114</v>
      </c>
      <c r="B365" s="299" t="e">
        <f>'15.Tre.Men'!C24</f>
        <v>#VALUE!</v>
      </c>
      <c r="C365" s="300">
        <f>'15.Tre.Men'!D24</f>
        <v>17850148.87353136</v>
      </c>
      <c r="D365" s="300">
        <f>'15.Tre.Men'!E24</f>
        <v>5922813.8735313602</v>
      </c>
      <c r="E365" s="300">
        <f>'15.Tre.Men'!F24</f>
        <v>5922813.8735313602</v>
      </c>
      <c r="F365" s="301">
        <f>'15.Tre.Men'!G24</f>
        <v>5922813.8735313602</v>
      </c>
      <c r="G365" s="302">
        <f>'15.Tre.Men'!H24</f>
        <v>5922813.8735313602</v>
      </c>
      <c r="H365" s="299">
        <f>'15.Tre.Men'!I24</f>
        <v>5922813.8735313602</v>
      </c>
      <c r="I365" s="300">
        <f>'15.Tre.Men'!J24</f>
        <v>5922813.8735313602</v>
      </c>
      <c r="J365" s="300">
        <f>'15.Tre.Men'!K24</f>
        <v>5922813.8735313602</v>
      </c>
      <c r="K365" s="300">
        <f>'15.Tre.Men'!L24</f>
        <v>5922813.8735313602</v>
      </c>
      <c r="L365" s="300">
        <f>'15.Tre.Men'!M24</f>
        <v>5922813.8735313602</v>
      </c>
      <c r="M365" s="312">
        <f>'15.Tre.Men'!N24</f>
        <v>14421022.395026499</v>
      </c>
    </row>
    <row r="366" spans="1:13" ht="15" thickBot="1">
      <c r="A366" s="303" t="s">
        <v>291</v>
      </c>
      <c r="B366" s="304" t="e">
        <f>'15.Tre.Men'!C25</f>
        <v>#VALUE!</v>
      </c>
      <c r="C366" s="305" t="e">
        <f>'15.Tre.Men'!D25</f>
        <v>#VALUE!</v>
      </c>
      <c r="D366" s="305" t="e">
        <f>'15.Tre.Men'!E25</f>
        <v>#VALUE!</v>
      </c>
      <c r="E366" s="305" t="e">
        <f>'15.Tre.Men'!F25</f>
        <v>#VALUE!</v>
      </c>
      <c r="F366" s="306" t="e">
        <f>'15.Tre.Men'!G25</f>
        <v>#VALUE!</v>
      </c>
      <c r="G366" s="307" t="e">
        <f>'15.Tre.Men'!H25</f>
        <v>#VALUE!</v>
      </c>
      <c r="H366" s="304" t="e">
        <f>'15.Tre.Men'!I25</f>
        <v>#VALUE!</v>
      </c>
      <c r="I366" s="305" t="e">
        <f>'15.Tre.Men'!J25</f>
        <v>#VALUE!</v>
      </c>
      <c r="J366" s="305" t="e">
        <f>'15.Tre.Men'!K25</f>
        <v>#VALUE!</v>
      </c>
      <c r="K366" s="305" t="e">
        <f>'15.Tre.Men'!L25</f>
        <v>#VALUE!</v>
      </c>
      <c r="L366" s="305" t="e">
        <f>'15.Tre.Men'!M25</f>
        <v>#VALUE!</v>
      </c>
      <c r="M366" s="313" t="e">
        <f>'15.Tre.Men'!N25</f>
        <v>#VALUE!</v>
      </c>
    </row>
    <row r="367" spans="1:13" ht="15" thickTop="1">
      <c r="A367" s="275"/>
      <c r="B367" s="272"/>
      <c r="C367" s="272"/>
      <c r="D367" s="272"/>
      <c r="E367" s="272"/>
      <c r="F367" s="272"/>
      <c r="G367" s="272"/>
    </row>
    <row r="368" spans="1:13">
      <c r="A368" s="272"/>
      <c r="B368" s="272"/>
      <c r="C368" s="272"/>
      <c r="D368" s="272"/>
      <c r="E368" s="272"/>
      <c r="F368" s="272"/>
      <c r="G368" s="272"/>
    </row>
    <row r="369" spans="1:7" ht="16">
      <c r="A369" s="332" t="s">
        <v>343</v>
      </c>
      <c r="B369" s="332"/>
      <c r="C369" s="332"/>
      <c r="D369" s="332"/>
      <c r="E369" s="332"/>
      <c r="F369" s="332"/>
      <c r="G369" s="332"/>
    </row>
    <row r="370" spans="1:7" ht="17" thickBot="1">
      <c r="A370" s="190"/>
      <c r="B370" s="190"/>
      <c r="C370" s="190"/>
      <c r="D370" s="190"/>
      <c r="E370" s="190"/>
      <c r="F370" s="190"/>
      <c r="G370" s="190"/>
    </row>
    <row r="371" spans="1:7" ht="17" thickBot="1">
      <c r="A371" s="218"/>
      <c r="B371" s="219"/>
      <c r="C371" s="219"/>
      <c r="D371" s="319"/>
      <c r="E371" s="190"/>
      <c r="F371" s="190"/>
      <c r="G371" s="190"/>
    </row>
    <row r="372" spans="1:7" ht="17" thickBot="1">
      <c r="A372" s="282" t="s">
        <v>9</v>
      </c>
      <c r="B372" s="329" t="s">
        <v>68</v>
      </c>
      <c r="C372" s="329" t="s">
        <v>69</v>
      </c>
      <c r="D372" s="330" t="s">
        <v>70</v>
      </c>
      <c r="E372" s="190"/>
      <c r="F372" s="190"/>
      <c r="G372" s="190"/>
    </row>
    <row r="373" spans="1:7" ht="17" thickBot="1">
      <c r="A373" s="283" t="s">
        <v>284</v>
      </c>
      <c r="B373" s="284">
        <f>'17.Tre.An'!C5</f>
        <v>0</v>
      </c>
      <c r="C373" s="284" t="e">
        <f>'17.Tre.An'!D5</f>
        <v>#VALUE!</v>
      </c>
      <c r="D373" s="320" t="e">
        <f>'17.Tre.An'!E5</f>
        <v>#VALUE!</v>
      </c>
      <c r="E373" s="190"/>
      <c r="F373" s="190"/>
      <c r="G373" s="190"/>
    </row>
    <row r="374" spans="1:7" ht="17" thickBot="1">
      <c r="A374" s="287" t="s">
        <v>103</v>
      </c>
      <c r="B374" s="288"/>
      <c r="C374" s="288"/>
      <c r="D374" s="321"/>
      <c r="E374" s="190"/>
      <c r="F374" s="190"/>
      <c r="G374" s="190"/>
    </row>
    <row r="375" spans="1:7" ht="17" thickBot="1">
      <c r="A375" s="225" t="s">
        <v>104</v>
      </c>
      <c r="B375" s="316" t="e">
        <f>'17.Tre.An'!C9</f>
        <v>#VALUE!</v>
      </c>
      <c r="C375" s="316" t="e">
        <f>'17.Tre.An'!D9</f>
        <v>#VALUE!</v>
      </c>
      <c r="D375" s="322" t="e">
        <f>'17.Tre.An'!E9</f>
        <v>#VALUE!</v>
      </c>
      <c r="E375" s="190"/>
      <c r="F375" s="190"/>
      <c r="G375" s="190"/>
    </row>
    <row r="376" spans="1:7" ht="17" thickBot="1">
      <c r="A376" s="287" t="s">
        <v>105</v>
      </c>
      <c r="B376" s="317"/>
      <c r="C376" s="317"/>
      <c r="D376" s="321"/>
      <c r="E376" s="190"/>
      <c r="F376" s="190"/>
      <c r="G376" s="190"/>
    </row>
    <row r="377" spans="1:7" ht="17" thickBot="1">
      <c r="A377" s="225" t="s">
        <v>106</v>
      </c>
      <c r="B377" s="318" t="e">
        <f>'17.Tre.An'!C11</f>
        <v>#VALUE!</v>
      </c>
      <c r="C377" s="318" t="e">
        <f>'17.Tre.An'!D11</f>
        <v>#VALUE!</v>
      </c>
      <c r="D377" s="323" t="e">
        <f>'17.Tre.An'!E11</f>
        <v>#VALUE!</v>
      </c>
      <c r="E377" s="190"/>
      <c r="F377" s="190"/>
      <c r="G377" s="190"/>
    </row>
    <row r="378" spans="1:7" ht="17" thickBot="1">
      <c r="A378" s="287" t="s">
        <v>285</v>
      </c>
      <c r="B378" s="288"/>
      <c r="C378" s="288"/>
      <c r="D378" s="321"/>
      <c r="E378" s="190"/>
      <c r="F378" s="190"/>
      <c r="G378" s="190"/>
    </row>
    <row r="379" spans="1:7" ht="17" thickBot="1">
      <c r="A379" s="225" t="s">
        <v>286</v>
      </c>
      <c r="B379" s="293">
        <f>'17.Tre.An'!C13</f>
        <v>18360000</v>
      </c>
      <c r="C379" s="293">
        <f>'17.Tre.An'!D13</f>
        <v>20196000</v>
      </c>
      <c r="D379" s="323">
        <f>'17.Tre.An'!E13</f>
        <v>22215600</v>
      </c>
      <c r="E379" s="190"/>
      <c r="F379" s="190"/>
      <c r="G379" s="190"/>
    </row>
    <row r="380" spans="1:7" ht="17" thickBot="1">
      <c r="A380" s="287" t="s">
        <v>287</v>
      </c>
      <c r="B380" s="288"/>
      <c r="C380" s="288"/>
      <c r="D380" s="321"/>
      <c r="E380" s="190"/>
      <c r="F380" s="190"/>
      <c r="G380" s="190"/>
    </row>
    <row r="381" spans="1:7" ht="17" thickBot="1">
      <c r="A381" s="225" t="s">
        <v>288</v>
      </c>
      <c r="B381" s="293">
        <f>'17.Tre.An'!C15</f>
        <v>7914000</v>
      </c>
      <c r="C381" s="293">
        <f>'17.Tre.An'!D15</f>
        <v>7914000</v>
      </c>
      <c r="D381" s="323">
        <f>'17.Tre.An'!E15</f>
        <v>7914000</v>
      </c>
      <c r="E381" s="190"/>
      <c r="F381" s="190"/>
      <c r="G381" s="190"/>
    </row>
    <row r="382" spans="1:7" ht="17" thickBot="1">
      <c r="A382" s="225" t="s">
        <v>289</v>
      </c>
      <c r="B382" s="293" t="e">
        <f>'17.Tre.An'!C16</f>
        <v>#VALUE!</v>
      </c>
      <c r="C382" s="293" t="e">
        <f>'17.Tre.An'!D16</f>
        <v>#VALUE!</v>
      </c>
      <c r="D382" s="323" t="e">
        <f>'17.Tre.An'!E16</f>
        <v>#VALUE!</v>
      </c>
      <c r="E382" s="190"/>
      <c r="F382" s="190"/>
      <c r="G382" s="190"/>
    </row>
    <row r="383" spans="1:7" ht="17" thickBot="1">
      <c r="A383" s="225" t="s">
        <v>290</v>
      </c>
      <c r="B383" s="293" t="e">
        <f>+'17.Tre.An'!C17</f>
        <v>#VALUE!</v>
      </c>
      <c r="C383" s="293" t="e">
        <f>+'17.Tre.An'!D17</f>
        <v>#VALUE!</v>
      </c>
      <c r="D383" s="323" t="e">
        <f>+'17.Tre.An'!E17</f>
        <v>#VALUE!</v>
      </c>
      <c r="E383" s="190"/>
      <c r="F383" s="190"/>
      <c r="G383" s="190"/>
    </row>
    <row r="384" spans="1:7" ht="17" thickBot="1">
      <c r="A384" s="294" t="s">
        <v>108</v>
      </c>
      <c r="B384" s="295">
        <f>'17.Tre.An'!C19</f>
        <v>3698500.8717999859</v>
      </c>
      <c r="C384" s="295">
        <f>'17.Tre.An'!D19</f>
        <v>0</v>
      </c>
      <c r="D384" s="324">
        <f>'17.Tre.An'!E19</f>
        <v>0</v>
      </c>
      <c r="E384" s="190"/>
      <c r="F384" s="190"/>
      <c r="G384" s="190"/>
    </row>
    <row r="385" spans="1:7" ht="17" thickBot="1">
      <c r="A385" s="294" t="s">
        <v>109</v>
      </c>
      <c r="B385" s="295">
        <f>'17.Tre.An'!C20</f>
        <v>286431.92134666548</v>
      </c>
      <c r="C385" s="295">
        <f>'17.Tre.An'!D20</f>
        <v>0</v>
      </c>
      <c r="D385" s="324">
        <f>'17.Tre.An'!E20</f>
        <v>0</v>
      </c>
      <c r="E385" s="190"/>
      <c r="F385" s="190"/>
      <c r="G385" s="190"/>
    </row>
    <row r="386" spans="1:7" ht="17" thickBot="1">
      <c r="A386" s="294" t="s">
        <v>111</v>
      </c>
      <c r="B386" s="295">
        <f>'17.Tre.An'!C21</f>
        <v>23336.68893566394</v>
      </c>
      <c r="C386" s="295">
        <f>'17.Tre.An'!D21</f>
        <v>25436.990939873696</v>
      </c>
      <c r="D386" s="324">
        <f>'17.Tre.An'!E21</f>
        <v>27726.320124462327</v>
      </c>
      <c r="E386" s="190"/>
      <c r="F386" s="190"/>
      <c r="G386" s="190"/>
    </row>
    <row r="387" spans="1:7" ht="17" thickBot="1">
      <c r="A387" s="294" t="s">
        <v>112</v>
      </c>
      <c r="B387" s="295">
        <f>'17.Tre.An'!C22</f>
        <v>6885</v>
      </c>
      <c r="C387" s="295">
        <f>'17.Tre.An'!D22</f>
        <v>4784.6979957902449</v>
      </c>
      <c r="D387" s="324">
        <f>'17.Tre.An'!E22</f>
        <v>2495.3688112016121</v>
      </c>
      <c r="E387" s="190"/>
      <c r="F387" s="190"/>
      <c r="G387" s="190"/>
    </row>
    <row r="388" spans="1:7" ht="17" thickBot="1">
      <c r="A388" s="225" t="s">
        <v>113</v>
      </c>
      <c r="B388" s="293">
        <f>'17.Tre.An'!C23</f>
        <v>4015154.4820823153</v>
      </c>
      <c r="C388" s="293">
        <f>'17.Tre.An'!D23</f>
        <v>30221.68893566394</v>
      </c>
      <c r="D388" s="323">
        <f>'17.Tre.An'!E23</f>
        <v>30221.68893566394</v>
      </c>
      <c r="E388" s="190"/>
      <c r="F388" s="190"/>
      <c r="G388" s="190"/>
    </row>
    <row r="389" spans="1:7" ht="16">
      <c r="A389" s="298" t="s">
        <v>114</v>
      </c>
      <c r="B389" s="299" t="e">
        <f>'17.Tre.An'!C24</f>
        <v>#VALUE!</v>
      </c>
      <c r="C389" s="299" t="e">
        <f>'17.Tre.An'!D24</f>
        <v>#VALUE!</v>
      </c>
      <c r="D389" s="325" t="e">
        <f>'17.Tre.An'!E24</f>
        <v>#VALUE!</v>
      </c>
      <c r="E389" s="190"/>
      <c r="F389" s="190"/>
      <c r="G389" s="190"/>
    </row>
    <row r="390" spans="1:7" ht="17" thickBot="1">
      <c r="A390" s="303" t="s">
        <v>291</v>
      </c>
      <c r="B390" s="304" t="e">
        <f>'17.Tre.An'!C25</f>
        <v>#VALUE!</v>
      </c>
      <c r="C390" s="304" t="e">
        <f>'17.Tre.An'!D25</f>
        <v>#VALUE!</v>
      </c>
      <c r="D390" s="326" t="e">
        <f>'17.Tre.An'!E25</f>
        <v>#VALUE!</v>
      </c>
      <c r="E390" s="190"/>
      <c r="F390" s="190"/>
      <c r="G390" s="190"/>
    </row>
    <row r="391" spans="1:7" ht="17" thickTop="1">
      <c r="A391" s="190"/>
      <c r="B391" s="190"/>
      <c r="C391" s="190"/>
      <c r="D391" s="190"/>
      <c r="E391" s="190"/>
      <c r="F391" s="190"/>
      <c r="G391" s="190"/>
    </row>
    <row r="392" spans="1:7" ht="16">
      <c r="A392" s="190"/>
      <c r="B392" s="190"/>
      <c r="C392" s="190"/>
      <c r="D392" s="190"/>
      <c r="E392" s="190"/>
      <c r="F392" s="190"/>
      <c r="G392" s="190"/>
    </row>
    <row r="393" spans="1:7" ht="16">
      <c r="A393" s="190"/>
      <c r="B393" s="190"/>
      <c r="C393" s="190"/>
      <c r="D393" s="190"/>
      <c r="E393" s="190"/>
      <c r="F393" s="190"/>
      <c r="G393" s="190"/>
    </row>
    <row r="394" spans="1:7">
      <c r="A394" s="275"/>
      <c r="B394" s="272"/>
      <c r="C394" s="272"/>
      <c r="D394" s="272"/>
      <c r="E394" s="272"/>
      <c r="F394" s="272"/>
      <c r="G394" s="272"/>
    </row>
    <row r="395" spans="1:7" ht="16">
      <c r="A395" s="332" t="s">
        <v>344</v>
      </c>
      <c r="B395" s="332"/>
      <c r="C395" s="332"/>
      <c r="D395" s="332"/>
      <c r="E395" s="332"/>
      <c r="F395" s="332"/>
      <c r="G395" s="332"/>
    </row>
    <row r="396" spans="1:7" ht="15">
      <c r="A396" s="26" t="s">
        <v>135</v>
      </c>
      <c r="B396" s="328" t="s">
        <v>68</v>
      </c>
      <c r="C396" s="328" t="s">
        <v>69</v>
      </c>
      <c r="D396" s="328" t="s">
        <v>70</v>
      </c>
      <c r="E396"/>
      <c r="F396"/>
      <c r="G396" s="272"/>
    </row>
    <row r="397" spans="1:7" ht="15">
      <c r="A397" s="327" t="str">
        <f>'19.Bilan'!B4</f>
        <v>Actif</v>
      </c>
      <c r="B397" s="327"/>
      <c r="C397" s="327"/>
      <c r="D397" s="327"/>
      <c r="E397"/>
      <c r="F397"/>
      <c r="G397" s="272"/>
    </row>
    <row r="398" spans="1:7" ht="15">
      <c r="A398" s="26">
        <f>'19.Bilan'!B5</f>
        <v>0</v>
      </c>
      <c r="B398" s="100" t="s">
        <v>137</v>
      </c>
      <c r="C398" s="100" t="s">
        <v>137</v>
      </c>
      <c r="D398" s="100" t="s">
        <v>137</v>
      </c>
      <c r="E398"/>
      <c r="F398"/>
      <c r="G398" s="272"/>
    </row>
    <row r="399" spans="1:7" ht="15">
      <c r="A399" s="101" t="str">
        <f>'19.Bilan'!B6</f>
        <v>Actifs immobilisés</v>
      </c>
      <c r="B399" s="102" t="e">
        <f>'19.Bilan'!C6</f>
        <v>#VALUE!</v>
      </c>
      <c r="C399" s="102" t="e">
        <f>'19.Bilan'!D6</f>
        <v>#VALUE!</v>
      </c>
      <c r="D399" s="102" t="e">
        <f>'19.Bilan'!E6</f>
        <v>#VALUE!</v>
      </c>
      <c r="E399"/>
      <c r="F399"/>
      <c r="G399" s="272"/>
    </row>
    <row r="400" spans="1:7" ht="15">
      <c r="A400" s="101" t="str">
        <f>'19.Bilan'!B7</f>
        <v>Actif circulant</v>
      </c>
      <c r="B400" s="102" t="e">
        <f>'19.Bilan'!C7</f>
        <v>#VALUE!</v>
      </c>
      <c r="C400" s="102" t="e">
        <f>'19.Bilan'!D7</f>
        <v>#VALUE!</v>
      </c>
      <c r="D400" s="102" t="e">
        <f>'19.Bilan'!E7</f>
        <v>#VALUE!</v>
      </c>
      <c r="E400"/>
      <c r="F400"/>
      <c r="G400" s="272"/>
    </row>
    <row r="401" spans="1:7" ht="15">
      <c r="A401" s="101" t="str">
        <f>'19.Bilan'!B8</f>
        <v>Total</v>
      </c>
      <c r="B401" s="102" t="e">
        <f>'19.Bilan'!C8</f>
        <v>#VALUE!</v>
      </c>
      <c r="C401" s="102" t="e">
        <f>'19.Bilan'!D8</f>
        <v>#VALUE!</v>
      </c>
      <c r="D401" s="102" t="e">
        <f>'19.Bilan'!E8</f>
        <v>#VALUE!</v>
      </c>
      <c r="E401"/>
      <c r="F401"/>
      <c r="G401" s="272"/>
    </row>
    <row r="402" spans="1:7" ht="15">
      <c r="A402" s="327" t="str">
        <f>'19.Bilan'!B9</f>
        <v>Passif</v>
      </c>
      <c r="B402" s="327">
        <f>'19.Bilan'!C9</f>
        <v>0</v>
      </c>
      <c r="C402" s="327">
        <f>'19.Bilan'!D9</f>
        <v>0</v>
      </c>
      <c r="D402" s="327">
        <f>'19.Bilan'!E9</f>
        <v>0</v>
      </c>
      <c r="E402"/>
      <c r="F402"/>
      <c r="G402" s="272"/>
    </row>
    <row r="403" spans="1:7" ht="15">
      <c r="A403" s="26">
        <f>'19.Bilan'!B10</f>
        <v>0</v>
      </c>
      <c r="B403" s="100" t="str">
        <f>'19.Bilan'!C10</f>
        <v>Net</v>
      </c>
      <c r="C403" s="100" t="str">
        <f>'19.Bilan'!D10</f>
        <v>Net</v>
      </c>
      <c r="D403" s="100" t="str">
        <f>'19.Bilan'!E10</f>
        <v>Net</v>
      </c>
      <c r="E403"/>
      <c r="F403"/>
      <c r="G403" s="272"/>
    </row>
    <row r="404" spans="1:7" ht="15">
      <c r="A404" s="105" t="str">
        <f>'19.Bilan'!B11</f>
        <v>Capitaux et résultat</v>
      </c>
      <c r="B404" s="102" t="e">
        <f>'19.Bilan'!C11</f>
        <v>#VALUE!</v>
      </c>
      <c r="C404" s="102" t="e">
        <f>'19.Bilan'!D11</f>
        <v>#VALUE!</v>
      </c>
      <c r="D404" s="102" t="e">
        <f>'19.Bilan'!E11</f>
        <v>#VALUE!</v>
      </c>
      <c r="E404"/>
      <c r="F404"/>
      <c r="G404" s="272"/>
    </row>
    <row r="405" spans="1:7" ht="15">
      <c r="A405" s="106" t="str">
        <f>'19.Bilan'!B12</f>
        <v>Résultat net</v>
      </c>
      <c r="B405" s="107" t="e">
        <f>'19.Bilan'!C12</f>
        <v>#VALUE!</v>
      </c>
      <c r="C405" s="107" t="e">
        <f>'19.Bilan'!D12</f>
        <v>#VALUE!</v>
      </c>
      <c r="D405" s="107" t="e">
        <f>'19.Bilan'!E12</f>
        <v>#VALUE!</v>
      </c>
      <c r="E405"/>
      <c r="F405"/>
      <c r="G405" s="272"/>
    </row>
    <row r="406" spans="1:7" ht="15">
      <c r="A406" s="106" t="str">
        <f>'19.Bilan'!B13</f>
        <v>Capital et avoir des actionnaires</v>
      </c>
      <c r="B406" s="103">
        <f>'19.Bilan'!C13</f>
        <v>0</v>
      </c>
      <c r="C406" s="103">
        <f>'19.Bilan'!D13</f>
        <v>0</v>
      </c>
      <c r="D406" s="103">
        <f>'19.Bilan'!E13</f>
        <v>0</v>
      </c>
      <c r="E406"/>
      <c r="F406"/>
      <c r="G406" s="272"/>
    </row>
    <row r="407" spans="1:7" ht="15">
      <c r="A407" s="106" t="str">
        <f>'19.Bilan'!B14</f>
        <v>Report à nouveau</v>
      </c>
      <c r="B407" s="103">
        <f>'19.Bilan'!C14</f>
        <v>0</v>
      </c>
      <c r="C407" s="103" t="e">
        <f>'19.Bilan'!D14</f>
        <v>#VALUE!</v>
      </c>
      <c r="D407" s="103" t="e">
        <f>'19.Bilan'!E14</f>
        <v>#VALUE!</v>
      </c>
      <c r="E407"/>
      <c r="F407"/>
      <c r="G407" s="272"/>
    </row>
    <row r="408" spans="1:7" ht="15">
      <c r="A408" s="105" t="str">
        <f>'19.Bilan'!B15</f>
        <v>Dettes financières</v>
      </c>
      <c r="B408" s="102">
        <f>'19.Bilan'!C15</f>
        <v>53163.311064336056</v>
      </c>
      <c r="C408" s="102">
        <f>'19.Bilan'!D15</f>
        <v>27726.320124462363</v>
      </c>
      <c r="D408" s="102">
        <f>'19.Bilan'!E15</f>
        <v>0</v>
      </c>
      <c r="E408"/>
      <c r="F408"/>
      <c r="G408" s="272"/>
    </row>
    <row r="409" spans="1:7" ht="15">
      <c r="A409" s="106" t="str">
        <f>'19.Bilan'!B16</f>
        <v>Dettes à long terme</v>
      </c>
      <c r="B409" s="103">
        <f>'19.Bilan'!C16</f>
        <v>53163.311064336056</v>
      </c>
      <c r="C409" s="103">
        <f>'19.Bilan'!D16</f>
        <v>27726.320124462363</v>
      </c>
      <c r="D409" s="103">
        <f>'19.Bilan'!E16</f>
        <v>0</v>
      </c>
      <c r="E409"/>
      <c r="F409"/>
      <c r="G409" s="272"/>
    </row>
    <row r="410" spans="1:7" ht="15">
      <c r="A410" s="105" t="str">
        <f>'19.Bilan'!B17</f>
        <v>Passif circulant</v>
      </c>
      <c r="B410" s="102">
        <f>'19.Bilan'!C17</f>
        <v>0</v>
      </c>
      <c r="C410" s="102">
        <f>'19.Bilan'!D17</f>
        <v>0</v>
      </c>
      <c r="D410" s="102">
        <f>'19.Bilan'!E17</f>
        <v>0</v>
      </c>
      <c r="E410"/>
      <c r="F410"/>
      <c r="G410" s="272"/>
    </row>
    <row r="411" spans="1:7" ht="15">
      <c r="A411" s="101" t="str">
        <f>'19.Bilan'!B18</f>
        <v>Total</v>
      </c>
      <c r="B411" s="102" t="e">
        <f>'19.Bilan'!C18</f>
        <v>#VALUE!</v>
      </c>
      <c r="C411" s="102" t="e">
        <f>'19.Bilan'!D18</f>
        <v>#VALUE!</v>
      </c>
      <c r="D411" s="102" t="e">
        <f>'19.Bilan'!E18</f>
        <v>#VALUE!</v>
      </c>
      <c r="E411"/>
      <c r="F411"/>
      <c r="G411" s="272"/>
    </row>
  </sheetData>
  <sheetProtection formatCells="0" formatColumns="0" formatRows="0"/>
  <mergeCells count="97">
    <mergeCell ref="A243:B243"/>
    <mergeCell ref="A244:B244"/>
    <mergeCell ref="A245:B245"/>
    <mergeCell ref="A233:B233"/>
    <mergeCell ref="A199:G199"/>
    <mergeCell ref="A211:G211"/>
    <mergeCell ref="B219:F219"/>
    <mergeCell ref="A223:G223"/>
    <mergeCell ref="A224:G224"/>
    <mergeCell ref="A227:B227"/>
    <mergeCell ref="A228:B228"/>
    <mergeCell ref="A229:B229"/>
    <mergeCell ref="A230:B230"/>
    <mergeCell ref="A231:B231"/>
    <mergeCell ref="A232:B232"/>
    <mergeCell ref="A145:B145"/>
    <mergeCell ref="A146:B146"/>
    <mergeCell ref="A153:G153"/>
    <mergeCell ref="A154:G154"/>
    <mergeCell ref="A152:G152"/>
    <mergeCell ref="A150:B150"/>
    <mergeCell ref="A147:B147"/>
    <mergeCell ref="A148:B148"/>
    <mergeCell ref="A149:B149"/>
    <mergeCell ref="A140:B140"/>
    <mergeCell ref="A141:B141"/>
    <mergeCell ref="A142:B142"/>
    <mergeCell ref="A143:B143"/>
    <mergeCell ref="A144:B144"/>
    <mergeCell ref="A136:B136"/>
    <mergeCell ref="D107:G107"/>
    <mergeCell ref="A99:G99"/>
    <mergeCell ref="A100:B100"/>
    <mergeCell ref="C100:G100"/>
    <mergeCell ref="A101:G101"/>
    <mergeCell ref="D102:G102"/>
    <mergeCell ref="A103:B103"/>
    <mergeCell ref="D105:G105"/>
    <mergeCell ref="D106:G106"/>
    <mergeCell ref="D108:G108"/>
    <mergeCell ref="A137:B137"/>
    <mergeCell ref="A138:B138"/>
    <mergeCell ref="A139:B139"/>
    <mergeCell ref="A22:A24"/>
    <mergeCell ref="B22:B24"/>
    <mergeCell ref="A105:B105"/>
    <mergeCell ref="A106:B106"/>
    <mergeCell ref="A126:G126"/>
    <mergeCell ref="A127:G127"/>
    <mergeCell ref="A128:G128"/>
    <mergeCell ref="A129:G129"/>
    <mergeCell ref="A130:G130"/>
    <mergeCell ref="A98:G98"/>
    <mergeCell ref="A132:D132"/>
    <mergeCell ref="A134:B134"/>
    <mergeCell ref="A135:B135"/>
    <mergeCell ref="F22:G22"/>
    <mergeCell ref="F27:G27"/>
    <mergeCell ref="A76:G76"/>
    <mergeCell ref="D103:G103"/>
    <mergeCell ref="D104:G104"/>
    <mergeCell ref="A157:G157"/>
    <mergeCell ref="A173:D173"/>
    <mergeCell ref="A160:G160"/>
    <mergeCell ref="A161:G161"/>
    <mergeCell ref="A162:G162"/>
    <mergeCell ref="A163:G163"/>
    <mergeCell ref="A165:G165"/>
    <mergeCell ref="A167:G167"/>
    <mergeCell ref="A169:D169"/>
    <mergeCell ref="A170:D170"/>
    <mergeCell ref="A171:D171"/>
    <mergeCell ref="A172:D172"/>
    <mergeCell ref="A158:G158"/>
    <mergeCell ref="A250:B250"/>
    <mergeCell ref="A252:G252"/>
    <mergeCell ref="A262:G262"/>
    <mergeCell ref="A234:B234"/>
    <mergeCell ref="A235:B235"/>
    <mergeCell ref="A236:B236"/>
    <mergeCell ref="A237:B237"/>
    <mergeCell ref="A238:B238"/>
    <mergeCell ref="A239:B239"/>
    <mergeCell ref="A240:B240"/>
    <mergeCell ref="A246:B246"/>
    <mergeCell ref="A247:B247"/>
    <mergeCell ref="A248:B248"/>
    <mergeCell ref="A249:B249"/>
    <mergeCell ref="A241:B241"/>
    <mergeCell ref="A242:B242"/>
    <mergeCell ref="A369:G369"/>
    <mergeCell ref="A395:G395"/>
    <mergeCell ref="A263:A264"/>
    <mergeCell ref="A269:G269"/>
    <mergeCell ref="A297:G297"/>
    <mergeCell ref="A298:G298"/>
    <mergeCell ref="A346:G346"/>
  </mergeCells>
  <phoneticPr fontId="42" type="noConversion"/>
  <conditionalFormatting sqref="B122:G122">
    <cfRule type="cellIs" dxfId="4" priority="7" operator="lessThanOrEqual">
      <formula>0</formula>
    </cfRule>
  </conditionalFormatting>
  <conditionalFormatting sqref="B366:M366">
    <cfRule type="cellIs" dxfId="3" priority="3" operator="lessThanOrEqual">
      <formula>0</formula>
    </cfRule>
  </conditionalFormatting>
  <conditionalFormatting sqref="B390:D390">
    <cfRule type="cellIs" dxfId="2" priority="1" operator="lessThanOrEqual">
      <formula>0</formula>
    </cfRule>
  </conditionalFormatting>
  <hyperlinks>
    <hyperlink ref="A77" location="_Toc3199075" display="_Toc3199075" xr:uid="{0CE030B3-8515-41CD-B09E-915C2674155C}"/>
    <hyperlink ref="G77" location="_Toc3199075" display="_Toc3199075" xr:uid="{24648A40-7C21-4BEA-9638-78841C1A4FDF}"/>
    <hyperlink ref="A78" location="_Toc3199077" display="_Toc3199077" xr:uid="{06C14D50-623F-4A22-A998-6FA1501991F9}"/>
    <hyperlink ref="B78" location="_Toc3199077" display="_Toc3199077" xr:uid="{4A16CCF4-D0FB-4178-B417-8244F345EB01}"/>
    <hyperlink ref="G78" location="_Toc3199077" display="_Toc3199077" xr:uid="{B1EEFFB0-A661-46B6-BD26-ED5DE3A95FB3}"/>
    <hyperlink ref="A79" location="_Toc3199078" display="_Toc3199078" xr:uid="{FE7A8A79-6050-4DC1-9BED-C72B8A9B6B43}"/>
    <hyperlink ref="B79" location="_Toc3199078" display="_Toc3199078" xr:uid="{F978FAD0-92AA-4E33-8266-7C311C41BD86}"/>
    <hyperlink ref="G79" location="_Toc3199078" display="_Toc3199078" xr:uid="{0994BB86-8C21-4478-9CAC-7D6891B29408}"/>
    <hyperlink ref="A80" location="_Toc3199079" display="_Toc3199079" xr:uid="{7FE9A089-7643-4AAD-8CD6-09A28652B075}"/>
    <hyperlink ref="B80" location="_Toc3199079" display="_Toc3199079" xr:uid="{F63CEC08-92B0-4F11-9CBA-87C376C58A2C}"/>
    <hyperlink ref="G80" location="_Toc3199079" display="_Toc3199079" xr:uid="{B2ECC783-A569-4231-BC63-02FCA98AF13F}"/>
    <hyperlink ref="A81" location="_Toc3199080" display="_Toc3199080" xr:uid="{F463FA26-D098-446E-9A2E-E35BA5D748A9}"/>
    <hyperlink ref="B81" location="_Toc3199080" display="_Toc3199080" xr:uid="{712F1F8E-75BC-4AB2-B25B-E331C1BD84B4}"/>
    <hyperlink ref="G81" location="_Toc3199080" display="_Toc3199080" xr:uid="{FA6FE203-23E4-4DBA-9151-44A1CD4A365F}"/>
    <hyperlink ref="A82" location="BP_Pres!A142" display="5." xr:uid="{6A362149-8A1A-4985-AB60-DD2165636B95}"/>
    <hyperlink ref="B82" location="BP_Pres!A142" display="ÉTUDE FINANCIÈRE ET PLAN DE FINANCEMENT" xr:uid="{F9D6508E-52CF-4179-BBA2-FD07422E3936}"/>
    <hyperlink ref="G82" location="BP_Pres!A142" display="BP_Pres!A142" xr:uid="{F5004EEA-67A8-471E-9530-4D026CAADCA1}"/>
    <hyperlink ref="A83" location="_Toc3199082" display="_Toc3199082" xr:uid="{542B1185-8DA9-4D47-AAE5-FCDD79FE32B5}"/>
    <hyperlink ref="B83" location="_Toc3199082" display="_Toc3199082" xr:uid="{8B93C2DD-82A3-4004-9F7B-68EDF5B6FC24}"/>
    <hyperlink ref="G83" location="_Toc3199082" display="_Toc3199082" xr:uid="{6016CFFC-5877-49F1-B750-3209D6D49561}"/>
    <hyperlink ref="A84" location="_Toc3199083" display="_Toc3199083" xr:uid="{D64E2A90-E917-460B-99AD-81E271FB85FF}"/>
    <hyperlink ref="B84" location="_Toc3199083" display="_Toc3199083" xr:uid="{0E8F8A64-CCF4-4148-935E-1A3EF46111C5}"/>
    <hyperlink ref="G84" location="_Toc3199083" display="_Toc3199083" xr:uid="{4DD71115-90EA-412F-B2A6-DB9D5309C450}"/>
    <hyperlink ref="A85" location="_Toc3199084" display="_Toc3199084" xr:uid="{8F0DA441-5DCF-4B6B-A843-CB3F54EBFF87}"/>
    <hyperlink ref="B85" location="_Toc3199084" display="_Toc3199084" xr:uid="{8ABE8A02-F28E-4ED3-9871-06EB8000FEB3}"/>
    <hyperlink ref="G85" location="_Toc3199084" display="_Toc3199084" xr:uid="{CD4C04A6-FB31-4362-A371-CBFBA2A68CAA}"/>
    <hyperlink ref="A87" location="_Toc3199087" display="_Toc3199087" xr:uid="{57A1FEF3-98BE-4123-AF2C-5A23FB528209}"/>
    <hyperlink ref="B87" location="_Toc3199087" display="_Toc3199087" xr:uid="{F63C3394-BB5B-4279-9F3B-168BA1451AE7}"/>
    <hyperlink ref="G87" location="_Toc3199087" display="_Toc3199087" xr:uid="{2FBC6753-4D6F-4327-A422-90BE3193F153}"/>
    <hyperlink ref="A88" location="_Toc3199088" display="_Toc3199088" xr:uid="{69C4F8C2-581F-44BF-A3D6-530ED92D80BE}"/>
    <hyperlink ref="B88" location="_Toc3199088" display="_Toc3199088" xr:uid="{B36CA0DA-230F-4C80-BDE0-B6AE11390BAC}"/>
    <hyperlink ref="G88" location="_Toc3199088" display="_Toc3199088" xr:uid="{62F1B2C5-EF03-4F63-ADE7-CD82D91D0E4C}"/>
    <hyperlink ref="A89" location="_Toc3199089" display="_Toc3199089" xr:uid="{B47F627B-9C0C-4873-8BD6-C1D35C11B03A}"/>
    <hyperlink ref="B89" location="_Toc3199089" display="_Toc3199089" xr:uid="{7D075A25-4245-4E62-A03B-495C28532701}"/>
    <hyperlink ref="G89" location="_Toc3199089" display="_Toc3199089" xr:uid="{B4425661-F82A-4E0B-8321-B9E656548530}"/>
    <hyperlink ref="A90" location="_Toc3199090" display="_Toc3199090" xr:uid="{7F1ABF33-791B-49E8-AF43-A3AA0BF13B5D}"/>
    <hyperlink ref="B90" location="_Toc3199090" display="_Toc3199090" xr:uid="{438CF02F-CE79-4E32-B9E8-55A3E3C09FDD}"/>
    <hyperlink ref="G90" location="_Toc3199090" display="_Toc3199090" xr:uid="{3FA525D7-0B3F-4BBF-9E43-B56971E9A38A}"/>
    <hyperlink ref="A91" location="_Toc3199091" display="_Toc3199091" xr:uid="{70738F80-A567-48E4-8A55-CFF8F533882E}"/>
    <hyperlink ref="B91" location="_Toc3199091" display="_Toc3199091" xr:uid="{AFAC55C5-4BC4-4912-B397-B18F23D177E5}"/>
    <hyperlink ref="G91" location="_Toc3199091" display="_Toc3199091" xr:uid="{39F0B5BA-09EC-4FB6-801B-FA7414C749F5}"/>
    <hyperlink ref="A92" location="_Toc3199092" display="_Toc3199092" xr:uid="{BDC66DFA-E993-43BB-826A-F3088639C9C6}"/>
    <hyperlink ref="B92" location="_Toc3199092" display="_Toc3199092" xr:uid="{BBD14A96-5EF6-4D45-8E91-C17A4C5921B5}"/>
    <hyperlink ref="G92" location="_Toc3199092" display="_Toc3199092" xr:uid="{245B750D-0178-4BB1-B955-BC62855BE5C4}"/>
    <hyperlink ref="A93" location="_Toc3199093" display="_Toc3199093" xr:uid="{01AE456C-7867-4B4A-9F1B-793B15892B24}"/>
    <hyperlink ref="B93" location="_Toc3199093" display="_Toc3199093" xr:uid="{13F3355F-F6AB-45EE-9CA9-114678B40F10}"/>
    <hyperlink ref="G93" location="_Toc3199093" display="_Toc3199093" xr:uid="{887659F3-BD69-45EE-B6E8-691587C2F910}"/>
    <hyperlink ref="A94" location="_Toc3199094" display="_Toc3199094" xr:uid="{EFA35501-C5B3-4544-A0FE-0EF2B59E80D1}"/>
    <hyperlink ref="B94" location="_Toc3199094" display="_Toc3199094" xr:uid="{D36E0757-77A9-44D8-9A16-2712C13653A9}"/>
    <hyperlink ref="G94" location="_Toc3199094" display="_Toc3199094" xr:uid="{87C4C59C-042D-4C6D-9EF5-FB909596C643}"/>
    <hyperlink ref="B95" location="BP_Pres!A453" display="Bilan annuel prévisionnel" xr:uid="{C615EF02-56BA-4A0B-A1E9-8FA55A6FE518}"/>
    <hyperlink ref="A95" location="BP_Pres!A453" display="7.4" xr:uid="{7AF94DFA-E00A-4095-99C4-24D3484E0602}"/>
    <hyperlink ref="G95" location="BP_Pres!A453" display="BP_Pres!A453" xr:uid="{A6382E45-0084-41BA-B413-4BF640AC3BEA}"/>
  </hyperlinks>
  <printOptions horizontalCentered="1"/>
  <pageMargins left="0.78740157480314965" right="0.78740157480314965" top="0.78740157480314965" bottom="0.39370078740157483" header="0.39370078740157483" footer="0.39370078740157483"/>
  <pageSetup paperSize="9" scale="85" fitToHeight="0" orientation="portrait" r:id="rId1"/>
  <headerFooter>
    <oddFooter>&amp;RPage&amp;P</oddFooter>
  </headerFooter>
  <rowBreaks count="11" manualBreakCount="11">
    <brk id="74" max="6" man="1"/>
    <brk id="97" max="6" man="1"/>
    <brk id="124" max="6" man="1"/>
    <brk id="154" max="6" man="1"/>
    <brk id="164" max="6" man="1"/>
    <brk id="209" max="6" man="1"/>
    <brk id="250" max="6" man="1"/>
    <brk id="295" max="6" man="1"/>
    <brk id="344" max="6" man="1"/>
    <brk id="366" max="6" man="1"/>
    <brk id="368" max="6" man="1"/>
  </rowBreaks>
  <ignoredErrors>
    <ignoredError sqref="C135:C150 D135:G150 A135:B150"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BDB4-8FAB-4747-9F06-1A84EB9233E6}">
  <dimension ref="A1"/>
  <sheetViews>
    <sheetView zoomScale="70" zoomScaleNormal="70" workbookViewId="0">
      <selection activeCell="Q29" sqref="Q29"/>
    </sheetView>
  </sheetViews>
  <sheetFormatPr baseColWidth="10" defaultRowHeight="15"/>
  <sheetData>
    <row r="1" spans="1:1">
      <c r="A1" s="124" t="s">
        <v>404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67F34-35CB-4BEB-A736-630260851CFA}">
  <sheetPr>
    <tabColor rgb="FF0070C0"/>
  </sheetPr>
  <dimension ref="A1:E21"/>
  <sheetViews>
    <sheetView workbookViewId="0">
      <selection activeCell="B6" sqref="B6:D9"/>
    </sheetView>
  </sheetViews>
  <sheetFormatPr baseColWidth="10" defaultColWidth="10.83203125" defaultRowHeight="13"/>
  <cols>
    <col min="1" max="1" width="29.1640625" style="1" customWidth="1"/>
    <col min="2" max="2" width="10.83203125" style="1"/>
    <col min="3" max="3" width="14.5" style="1" customWidth="1"/>
    <col min="4" max="16384" width="10.83203125" style="1"/>
  </cols>
  <sheetData>
    <row r="1" spans="1:5" ht="14">
      <c r="A1" s="124" t="s">
        <v>364</v>
      </c>
      <c r="C1" s="125"/>
    </row>
    <row r="2" spans="1:5">
      <c r="A2" s="1" t="s">
        <v>0</v>
      </c>
    </row>
    <row r="3" spans="1:5">
      <c r="B3" s="1" t="s">
        <v>161</v>
      </c>
      <c r="C3" s="1" t="s">
        <v>162</v>
      </c>
      <c r="D3" s="1" t="s">
        <v>242</v>
      </c>
    </row>
    <row r="4" spans="1:5">
      <c r="A4" s="1" t="s">
        <v>1</v>
      </c>
      <c r="B4" s="233"/>
    </row>
    <row r="5" spans="1:5">
      <c r="A5" s="1" t="s">
        <v>3</v>
      </c>
      <c r="B5" s="233">
        <f>SUMIF('21.BFR'!$F$3:$F$41,'1.Var.Fin'!B6,'21.BFR'!$G$3:$G$41)+SUMIF('7.Bud.Inv.'!$D$3:$D$22,'1.Var.Fin'!B6,'7.Bud.Inv.'!$Q$3:$Q$22)</f>
        <v>76500</v>
      </c>
      <c r="C5" s="233">
        <f>SUMIF('21.BFR'!$F$3:$F$41,'1.Var.Fin'!C6,'21.BFR'!$G$3:$G$41)+SUMIF('7.Bud.Inv.'!$D$3:$D$22,'1.Var.Fin'!C6,'7.Bud.Inv.'!$Q$3:$Q$22)</f>
        <v>3698500.8717999998</v>
      </c>
      <c r="D5" s="233">
        <f>SUMIF('21.BFR'!$F$3:$F$41,'1.Var.Fin'!D6,'21.BFR'!$G$3:$G$41)+SUMIF('7.Bud.Inv.'!$D$3:$D$22,'1.Var.Fin'!D6,'7.Bud.Inv.'!$Q$3:$Q$22)</f>
        <v>0</v>
      </c>
      <c r="E5" s="119"/>
    </row>
    <row r="6" spans="1:5">
      <c r="A6" s="119" t="s">
        <v>158</v>
      </c>
      <c r="B6" s="234" t="s">
        <v>165</v>
      </c>
      <c r="C6" s="234" t="s">
        <v>166</v>
      </c>
      <c r="D6" s="234" t="s">
        <v>167</v>
      </c>
      <c r="E6" s="119"/>
    </row>
    <row r="7" spans="1:5">
      <c r="A7" s="119" t="s">
        <v>4</v>
      </c>
      <c r="B7" s="235">
        <v>0.09</v>
      </c>
      <c r="C7" s="235">
        <v>0.11</v>
      </c>
      <c r="D7" s="235">
        <v>0.1</v>
      </c>
      <c r="E7" s="119"/>
    </row>
    <row r="8" spans="1:5">
      <c r="A8" s="119" t="s">
        <v>18</v>
      </c>
      <c r="B8" s="234">
        <v>36</v>
      </c>
      <c r="C8" s="234">
        <v>36</v>
      </c>
      <c r="D8" s="234">
        <v>36</v>
      </c>
      <c r="E8" s="119"/>
    </row>
    <row r="9" spans="1:5">
      <c r="A9" s="1" t="s">
        <v>8</v>
      </c>
      <c r="B9" s="235">
        <v>0.1</v>
      </c>
      <c r="C9" s="235">
        <v>1.1000000000000001</v>
      </c>
      <c r="D9" s="235">
        <v>2.1</v>
      </c>
      <c r="E9" s="119"/>
    </row>
    <row r="10" spans="1:5">
      <c r="A10" s="1" t="s">
        <v>2</v>
      </c>
      <c r="B10" s="233"/>
    </row>
    <row r="11" spans="1:5">
      <c r="A11" s="1" t="s">
        <v>3</v>
      </c>
      <c r="B11" s="233">
        <f>SUMIF('21.BFR'!$F$3:$F$41,'1.Var.Fin'!B12,'21.BFR'!$G$3:$G$41)+SUMIF('7.Bud.Inv.'!$D$3:$D$22,'1.Var.Fin'!B12,'7.Bud.Inv.'!$Q$3:$Q$22)</f>
        <v>3698500.8717999998</v>
      </c>
      <c r="C11" s="233">
        <f>SUMIF('21.BFR'!$F$3:$F$41,'1.Var.Fin'!C12,'21.BFR'!$G$3:$G$41)+SUMIF('7.Bud.Inv.'!$D$3:$D$22,'1.Var.Fin'!C12,'7.Bud.Inv.'!$Q$3:$Q$22)</f>
        <v>0</v>
      </c>
      <c r="D11" s="233">
        <f>SUMIF('21.BFR'!$F$3:$F$41,'1.Var.Fin'!D12,'21.BFR'!$G$3:$G$41)+SUMIF('7.Bud.Inv.'!$D$3:$D$22,'1.Var.Fin'!D12,'7.Bud.Inv.'!$Q$3:$Q$22)</f>
        <v>0</v>
      </c>
      <c r="E11" s="119"/>
    </row>
    <row r="12" spans="1:5">
      <c r="A12" s="119" t="s">
        <v>158</v>
      </c>
      <c r="B12" s="234" t="s">
        <v>166</v>
      </c>
      <c r="C12" s="234" t="s">
        <v>167</v>
      </c>
      <c r="D12" s="234" t="s">
        <v>348</v>
      </c>
      <c r="E12" s="119"/>
    </row>
    <row r="13" spans="1:5">
      <c r="A13" s="119" t="s">
        <v>4</v>
      </c>
      <c r="B13" s="235">
        <v>0.14000000000000001</v>
      </c>
      <c r="C13" s="235">
        <v>0.14000000000000001</v>
      </c>
      <c r="D13" s="235">
        <v>0.14000000000000001</v>
      </c>
      <c r="E13" s="119"/>
    </row>
    <row r="14" spans="1:5">
      <c r="A14" s="119" t="s">
        <v>18</v>
      </c>
      <c r="B14" s="234">
        <v>12</v>
      </c>
      <c r="C14" s="234">
        <v>12</v>
      </c>
      <c r="D14" s="234">
        <v>12</v>
      </c>
      <c r="E14" s="119"/>
    </row>
    <row r="15" spans="1:5">
      <c r="A15" s="1" t="s">
        <v>8</v>
      </c>
      <c r="B15" s="235">
        <v>0.1</v>
      </c>
      <c r="C15" s="235">
        <v>0.1</v>
      </c>
      <c r="D15" s="235">
        <v>0.1</v>
      </c>
      <c r="E15" s="119"/>
    </row>
    <row r="16" spans="1:5">
      <c r="A16" s="1" t="s">
        <v>152</v>
      </c>
      <c r="B16" s="233"/>
    </row>
    <row r="17" spans="1:5">
      <c r="A17" s="1" t="s">
        <v>3</v>
      </c>
      <c r="B17" s="233">
        <f>SUMIF('21.BFR'!$F$3:$F$41,'1.Var.Fin'!B18,'21.BFR'!$G$3:$G$41)+SUMIF('7.Bud.Inv.'!$D$3:$D$22,'1.Var.Fin'!B18,'7.Bud.Inv.'!$Q$3:$Q$22)</f>
        <v>0</v>
      </c>
      <c r="C17" s="233">
        <f>SUMIF('21.BFR'!$F$3:$F$41,'1.Var.Fin'!C18,'21.BFR'!$G$3:$G$41)+SUMIF('7.Bud.Inv.'!$D$3:$D$22,'1.Var.Fin'!C18,'7.Bud.Inv.'!$Q$3:$Q$22)</f>
        <v>0</v>
      </c>
      <c r="D17" s="233">
        <f>SUMIF('21.BFR'!$F$3:$F$41,'1.Var.Fin'!D18,'21.BFR'!$G$3:$G$41)+SUMIF('7.Bud.Inv.'!$D$3:$D$22,'1.Var.Fin'!D18,'7.Bud.Inv.'!$Q$3:$Q$22)</f>
        <v>0</v>
      </c>
      <c r="E17" s="119"/>
    </row>
    <row r="18" spans="1:5">
      <c r="A18" s="119" t="s">
        <v>158</v>
      </c>
      <c r="B18" s="234" t="s">
        <v>167</v>
      </c>
      <c r="C18" s="234" t="s">
        <v>167</v>
      </c>
      <c r="D18" s="234" t="s">
        <v>167</v>
      </c>
      <c r="E18" s="119"/>
    </row>
    <row r="19" spans="1:5">
      <c r="A19" s="119" t="s">
        <v>4</v>
      </c>
      <c r="B19" s="235">
        <v>0</v>
      </c>
      <c r="C19" s="235">
        <v>0</v>
      </c>
      <c r="D19" s="235">
        <v>0</v>
      </c>
      <c r="E19" s="119"/>
    </row>
    <row r="20" spans="1:5">
      <c r="A20" s="119" t="s">
        <v>18</v>
      </c>
      <c r="B20" s="234">
        <v>36</v>
      </c>
      <c r="C20" s="234">
        <v>36</v>
      </c>
      <c r="D20" s="234">
        <v>36</v>
      </c>
      <c r="E20" s="119"/>
    </row>
    <row r="21" spans="1:5">
      <c r="A21" s="1" t="s">
        <v>8</v>
      </c>
      <c r="B21" s="235">
        <v>0.1</v>
      </c>
      <c r="C21" s="235">
        <v>0.1</v>
      </c>
      <c r="D21" s="235">
        <v>0.1</v>
      </c>
      <c r="E21" s="119"/>
    </row>
  </sheetData>
  <phoneticPr fontId="42"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900B-FD19-47AE-83ED-37EDA65E78DD}">
  <sheetPr>
    <tabColor rgb="FF0070C0"/>
  </sheetPr>
  <dimension ref="A1:G59"/>
  <sheetViews>
    <sheetView workbookViewId="0">
      <selection activeCell="G47" sqref="G47:G59"/>
    </sheetView>
  </sheetViews>
  <sheetFormatPr baseColWidth="10" defaultRowHeight="15"/>
  <cols>
    <col min="2" max="2" width="11.6640625" bestFit="1" customWidth="1"/>
    <col min="3" max="3" width="8.5" bestFit="1" customWidth="1"/>
    <col min="4" max="4" width="5.5" bestFit="1" customWidth="1"/>
    <col min="5" max="5" width="13.6640625" bestFit="1" customWidth="1"/>
    <col min="6" max="6" width="10.1640625" bestFit="1" customWidth="1"/>
    <col min="8" max="8" width="11.6640625" bestFit="1" customWidth="1"/>
  </cols>
  <sheetData>
    <row r="1" spans="1:7">
      <c r="A1" s="124" t="s">
        <v>295</v>
      </c>
    </row>
    <row r="2" spans="1:7">
      <c r="A2" s="124"/>
    </row>
    <row r="3" spans="1:7">
      <c r="A3" s="25" t="s">
        <v>161</v>
      </c>
    </row>
    <row r="4" spans="1:7">
      <c r="A4" s="14" t="s">
        <v>5</v>
      </c>
      <c r="B4" s="19">
        <f>'1.Var.Fin'!B11</f>
        <v>3698500.8717999998</v>
      </c>
      <c r="C4" s="14"/>
      <c r="D4" s="14"/>
      <c r="E4" s="14"/>
      <c r="F4" s="15"/>
    </row>
    <row r="5" spans="1:7">
      <c r="A5" s="14" t="s">
        <v>6</v>
      </c>
      <c r="B5" s="20">
        <f>+'1.Var.Fin'!B13</f>
        <v>0.14000000000000001</v>
      </c>
      <c r="C5" s="14"/>
      <c r="D5" s="14"/>
      <c r="E5" s="14"/>
      <c r="F5" s="14"/>
    </row>
    <row r="6" spans="1:7">
      <c r="A6" s="14" t="s">
        <v>7</v>
      </c>
      <c r="B6" s="16">
        <f>B5/12</f>
        <v>1.1666666666666667E-2</v>
      </c>
      <c r="C6" s="14"/>
      <c r="D6" s="14"/>
      <c r="E6" s="14"/>
      <c r="F6" s="14"/>
    </row>
    <row r="7" spans="1:7">
      <c r="A7" s="14" t="s">
        <v>8</v>
      </c>
      <c r="B7" s="17">
        <f>'1.Var.Fin'!B9</f>
        <v>0.1</v>
      </c>
      <c r="C7" s="14"/>
      <c r="D7" s="14"/>
      <c r="E7" s="14" t="s">
        <v>9</v>
      </c>
      <c r="F7" s="14"/>
    </row>
    <row r="8" spans="1:7">
      <c r="A8" s="14" t="s">
        <v>10</v>
      </c>
      <c r="B8" s="18">
        <f>'1.Var.Fin'!B14</f>
        <v>12</v>
      </c>
      <c r="C8" s="14" t="s">
        <v>11</v>
      </c>
      <c r="D8" s="14"/>
      <c r="E8" s="14"/>
      <c r="F8" s="14"/>
    </row>
    <row r="9" spans="1:7" ht="28">
      <c r="A9" s="21" t="s">
        <v>12</v>
      </c>
      <c r="B9" s="21" t="s">
        <v>123</v>
      </c>
      <c r="C9" s="21" t="s">
        <v>14</v>
      </c>
      <c r="D9" s="21" t="s">
        <v>15</v>
      </c>
      <c r="E9" s="21" t="s">
        <v>16</v>
      </c>
      <c r="F9" s="21" t="s">
        <v>17</v>
      </c>
      <c r="G9" s="21" t="s">
        <v>131</v>
      </c>
    </row>
    <row r="10" spans="1:7">
      <c r="A10" s="22">
        <v>1</v>
      </c>
      <c r="B10" s="22">
        <f>B4</f>
        <v>3698500.8717999998</v>
      </c>
      <c r="C10" s="22">
        <f t="shared" ref="C10:C21" si="0">B10*$B$6</f>
        <v>43149.176837666666</v>
      </c>
      <c r="D10" s="22">
        <f t="shared" ref="D10:D21" si="1">C10*$B$7</f>
        <v>4314.9176837666664</v>
      </c>
      <c r="E10" s="22">
        <f t="shared" ref="E10:E21" si="2">IFERROR(F10-C10,"")</f>
        <v>288928.55592455424</v>
      </c>
      <c r="F10" s="22">
        <f>IF(B10&gt;1,IFERROR(($B$4*$B$6/((1-(1+$B$6)^(-$B$8)))),""),0)</f>
        <v>332077.7327622209</v>
      </c>
      <c r="G10" s="22" t="s">
        <v>68</v>
      </c>
    </row>
    <row r="11" spans="1:7">
      <c r="A11" s="22">
        <v>2</v>
      </c>
      <c r="B11" s="22">
        <f t="shared" ref="B11:B21" si="3">IFERROR(B10-E10, "")</f>
        <v>3409572.3158754455</v>
      </c>
      <c r="C11" s="22">
        <f t="shared" si="0"/>
        <v>39778.343685213535</v>
      </c>
      <c r="D11" s="22">
        <f t="shared" si="1"/>
        <v>3977.8343685213536</v>
      </c>
      <c r="E11" s="22">
        <f t="shared" si="2"/>
        <v>292299.38907700736</v>
      </c>
      <c r="F11" s="22">
        <f t="shared" ref="F11:F21" si="4">IF(B11&gt;1,IFERROR(($B$4*$B$6/((1-(1+$B$6)^(-$B$8)))),""),0)</f>
        <v>332077.7327622209</v>
      </c>
      <c r="G11" s="22" t="s">
        <v>68</v>
      </c>
    </row>
    <row r="12" spans="1:7">
      <c r="A12" s="22">
        <v>3</v>
      </c>
      <c r="B12" s="22">
        <f t="shared" si="3"/>
        <v>3117272.9267984382</v>
      </c>
      <c r="C12" s="22">
        <f t="shared" si="0"/>
        <v>36368.184145981781</v>
      </c>
      <c r="D12" s="22">
        <f t="shared" si="1"/>
        <v>3636.8184145981782</v>
      </c>
      <c r="E12" s="22">
        <f t="shared" si="2"/>
        <v>295709.5486162391</v>
      </c>
      <c r="F12" s="22">
        <f t="shared" si="4"/>
        <v>332077.7327622209</v>
      </c>
      <c r="G12" s="22" t="s">
        <v>68</v>
      </c>
    </row>
    <row r="13" spans="1:7">
      <c r="A13" s="22">
        <v>4</v>
      </c>
      <c r="B13" s="22">
        <f t="shared" si="3"/>
        <v>2821563.3781821989</v>
      </c>
      <c r="C13" s="22">
        <f t="shared" si="0"/>
        <v>32918.239412125651</v>
      </c>
      <c r="D13" s="22">
        <f t="shared" si="1"/>
        <v>3291.8239412125654</v>
      </c>
      <c r="E13" s="22">
        <f t="shared" si="2"/>
        <v>299159.49335009523</v>
      </c>
      <c r="F13" s="22">
        <f t="shared" si="4"/>
        <v>332077.7327622209</v>
      </c>
      <c r="G13" s="22" t="s">
        <v>68</v>
      </c>
    </row>
    <row r="14" spans="1:7">
      <c r="A14" s="22">
        <v>5</v>
      </c>
      <c r="B14" s="22">
        <f t="shared" si="3"/>
        <v>2522403.8848321037</v>
      </c>
      <c r="C14" s="22">
        <f t="shared" si="0"/>
        <v>29428.045323041213</v>
      </c>
      <c r="D14" s="22">
        <f t="shared" si="1"/>
        <v>2942.8045323041215</v>
      </c>
      <c r="E14" s="22">
        <f t="shared" si="2"/>
        <v>302649.68743917969</v>
      </c>
      <c r="F14" s="22">
        <f t="shared" si="4"/>
        <v>332077.7327622209</v>
      </c>
      <c r="G14" s="22" t="s">
        <v>68</v>
      </c>
    </row>
    <row r="15" spans="1:7">
      <c r="A15" s="22">
        <v>6</v>
      </c>
      <c r="B15" s="22">
        <f t="shared" si="3"/>
        <v>2219754.1973929242</v>
      </c>
      <c r="C15" s="22">
        <f t="shared" si="0"/>
        <v>25897.132302917449</v>
      </c>
      <c r="D15" s="22">
        <f t="shared" si="1"/>
        <v>2589.7132302917453</v>
      </c>
      <c r="E15" s="22">
        <f t="shared" si="2"/>
        <v>306180.60045930347</v>
      </c>
      <c r="F15" s="22">
        <f t="shared" si="4"/>
        <v>332077.7327622209</v>
      </c>
      <c r="G15" s="22" t="s">
        <v>68</v>
      </c>
    </row>
    <row r="16" spans="1:7">
      <c r="A16" s="22">
        <v>7</v>
      </c>
      <c r="B16" s="22">
        <f t="shared" si="3"/>
        <v>1913573.5969336207</v>
      </c>
      <c r="C16" s="22">
        <f t="shared" si="0"/>
        <v>22325.02529755891</v>
      </c>
      <c r="D16" s="22">
        <f t="shared" si="1"/>
        <v>2232.5025297558909</v>
      </c>
      <c r="E16" s="22">
        <f t="shared" si="2"/>
        <v>309752.70746466197</v>
      </c>
      <c r="F16" s="22">
        <f t="shared" si="4"/>
        <v>332077.7327622209</v>
      </c>
      <c r="G16" s="22" t="s">
        <v>68</v>
      </c>
    </row>
    <row r="17" spans="1:7">
      <c r="A17" s="22">
        <v>8</v>
      </c>
      <c r="B17" s="22">
        <f t="shared" si="3"/>
        <v>1603820.8894689588</v>
      </c>
      <c r="C17" s="22">
        <f t="shared" si="0"/>
        <v>18711.243710471186</v>
      </c>
      <c r="D17" s="22">
        <f t="shared" si="1"/>
        <v>1871.1243710471188</v>
      </c>
      <c r="E17" s="22">
        <f t="shared" si="2"/>
        <v>313366.4890517497</v>
      </c>
      <c r="F17" s="22">
        <f t="shared" si="4"/>
        <v>332077.7327622209</v>
      </c>
      <c r="G17" s="22" t="s">
        <v>68</v>
      </c>
    </row>
    <row r="18" spans="1:7">
      <c r="A18" s="22">
        <v>9</v>
      </c>
      <c r="B18" s="22">
        <f t="shared" si="3"/>
        <v>1290454.4004172091</v>
      </c>
      <c r="C18" s="22">
        <f t="shared" si="0"/>
        <v>15055.301338200774</v>
      </c>
      <c r="D18" s="22">
        <f t="shared" si="1"/>
        <v>1505.5301338200775</v>
      </c>
      <c r="E18" s="22">
        <f t="shared" si="2"/>
        <v>317022.43142402015</v>
      </c>
      <c r="F18" s="22">
        <f t="shared" si="4"/>
        <v>332077.7327622209</v>
      </c>
      <c r="G18" s="22" t="s">
        <v>68</v>
      </c>
    </row>
    <row r="19" spans="1:7">
      <c r="A19" s="22">
        <v>10</v>
      </c>
      <c r="B19" s="22">
        <f t="shared" si="3"/>
        <v>973431.96899318905</v>
      </c>
      <c r="C19" s="22">
        <f t="shared" si="0"/>
        <v>11356.706304920539</v>
      </c>
      <c r="D19" s="22">
        <f t="shared" si="1"/>
        <v>1135.670630492054</v>
      </c>
      <c r="E19" s="22">
        <f t="shared" si="2"/>
        <v>320721.02645730035</v>
      </c>
      <c r="F19" s="22">
        <f t="shared" si="4"/>
        <v>332077.7327622209</v>
      </c>
      <c r="G19" s="22" t="s">
        <v>68</v>
      </c>
    </row>
    <row r="20" spans="1:7">
      <c r="A20" s="22">
        <v>11</v>
      </c>
      <c r="B20" s="22">
        <f t="shared" si="3"/>
        <v>652710.94253588864</v>
      </c>
      <c r="C20" s="22">
        <f t="shared" si="0"/>
        <v>7614.9609962520344</v>
      </c>
      <c r="D20" s="22">
        <f t="shared" si="1"/>
        <v>761.49609962520344</v>
      </c>
      <c r="E20" s="22">
        <f t="shared" si="2"/>
        <v>324462.77176596888</v>
      </c>
      <c r="F20" s="22">
        <f t="shared" si="4"/>
        <v>332077.7327622209</v>
      </c>
      <c r="G20" s="22" t="s">
        <v>68</v>
      </c>
    </row>
    <row r="21" spans="1:7">
      <c r="A21" s="22">
        <v>12</v>
      </c>
      <c r="B21" s="22">
        <f t="shared" si="3"/>
        <v>328248.17076991976</v>
      </c>
      <c r="C21" s="22">
        <f t="shared" si="0"/>
        <v>3829.5619923157305</v>
      </c>
      <c r="D21" s="22">
        <f t="shared" si="1"/>
        <v>382.95619923157307</v>
      </c>
      <c r="E21" s="22">
        <f t="shared" si="2"/>
        <v>328248.17076990515</v>
      </c>
      <c r="F21" s="22">
        <f t="shared" si="4"/>
        <v>332077.7327622209</v>
      </c>
      <c r="G21" s="22" t="s">
        <v>68</v>
      </c>
    </row>
    <row r="22" spans="1:7">
      <c r="A22" s="25" t="s">
        <v>162</v>
      </c>
    </row>
    <row r="23" spans="1:7">
      <c r="A23" s="14" t="s">
        <v>5</v>
      </c>
      <c r="B23" s="19">
        <f>'1.Var.Fin'!C11</f>
        <v>0</v>
      </c>
      <c r="C23" s="14"/>
      <c r="D23" s="14"/>
      <c r="E23" s="14"/>
      <c r="F23" s="15"/>
    </row>
    <row r="24" spans="1:7">
      <c r="A24" s="14" t="s">
        <v>6</v>
      </c>
      <c r="B24" s="20">
        <f>+'1.Var.Fin'!C13</f>
        <v>0.14000000000000001</v>
      </c>
      <c r="C24" s="14"/>
      <c r="D24" s="14"/>
      <c r="E24" s="14"/>
      <c r="F24" s="14"/>
    </row>
    <row r="25" spans="1:7">
      <c r="A25" s="14" t="s">
        <v>7</v>
      </c>
      <c r="B25" s="16">
        <f>B24/12</f>
        <v>1.1666666666666667E-2</v>
      </c>
      <c r="C25" s="14"/>
      <c r="D25" s="14"/>
      <c r="E25" s="14"/>
      <c r="F25" s="14"/>
    </row>
    <row r="26" spans="1:7">
      <c r="A26" s="14" t="s">
        <v>8</v>
      </c>
      <c r="B26" s="17">
        <f>'1.Var.Fin'!C9</f>
        <v>1.1000000000000001</v>
      </c>
      <c r="C26" s="14"/>
      <c r="D26" s="14"/>
      <c r="E26" s="14" t="s">
        <v>9</v>
      </c>
      <c r="F26" s="14"/>
    </row>
    <row r="27" spans="1:7">
      <c r="A27" s="14" t="s">
        <v>10</v>
      </c>
      <c r="B27" s="18">
        <f>'1.Var.Fin'!C14</f>
        <v>12</v>
      </c>
      <c r="C27" s="14" t="s">
        <v>11</v>
      </c>
      <c r="D27" s="14"/>
      <c r="E27" s="14"/>
      <c r="F27" s="14"/>
    </row>
    <row r="28" spans="1:7" ht="28">
      <c r="A28" s="21" t="s">
        <v>12</v>
      </c>
      <c r="B28" s="21" t="s">
        <v>123</v>
      </c>
      <c r="C28" s="21" t="s">
        <v>14</v>
      </c>
      <c r="D28" s="21" t="s">
        <v>15</v>
      </c>
      <c r="E28" s="21" t="s">
        <v>16</v>
      </c>
      <c r="F28" s="21" t="s">
        <v>17</v>
      </c>
      <c r="G28" s="21" t="s">
        <v>131</v>
      </c>
    </row>
    <row r="29" spans="1:7">
      <c r="A29" s="22">
        <v>1</v>
      </c>
      <c r="B29" s="22">
        <f>H23</f>
        <v>0</v>
      </c>
      <c r="C29" s="22">
        <f t="shared" ref="C29:C40" si="5">B29*$B$6</f>
        <v>0</v>
      </c>
      <c r="D29" s="22">
        <f t="shared" ref="D29:D40" si="6">C29*$B$7</f>
        <v>0</v>
      </c>
      <c r="E29" s="22">
        <f t="shared" ref="E29:E40" si="7">IFERROR(F29-C29,"")</f>
        <v>0</v>
      </c>
      <c r="F29" s="22">
        <f t="shared" ref="F29:F40" si="8">IF(B29&gt;1,IFERROR(($B$4*$B$6/((1-(1+$B$6)^(-$B$8)))),""),0)</f>
        <v>0</v>
      </c>
      <c r="G29" s="22" t="s">
        <v>69</v>
      </c>
    </row>
    <row r="30" spans="1:7">
      <c r="A30" s="22">
        <v>2</v>
      </c>
      <c r="B30" s="22">
        <f t="shared" ref="B30:B40" si="9">IFERROR(B29-E29, "")</f>
        <v>0</v>
      </c>
      <c r="C30" s="22">
        <f t="shared" si="5"/>
        <v>0</v>
      </c>
      <c r="D30" s="22">
        <f t="shared" si="6"/>
        <v>0</v>
      </c>
      <c r="E30" s="22">
        <f t="shared" si="7"/>
        <v>0</v>
      </c>
      <c r="F30" s="22">
        <f t="shared" si="8"/>
        <v>0</v>
      </c>
      <c r="G30" s="22" t="s">
        <v>69</v>
      </c>
    </row>
    <row r="31" spans="1:7">
      <c r="A31" s="22">
        <v>3</v>
      </c>
      <c r="B31" s="22">
        <f t="shared" si="9"/>
        <v>0</v>
      </c>
      <c r="C31" s="22">
        <f t="shared" si="5"/>
        <v>0</v>
      </c>
      <c r="D31" s="22">
        <f t="shared" si="6"/>
        <v>0</v>
      </c>
      <c r="E31" s="22">
        <f t="shared" si="7"/>
        <v>0</v>
      </c>
      <c r="F31" s="22">
        <f t="shared" si="8"/>
        <v>0</v>
      </c>
      <c r="G31" s="22" t="s">
        <v>69</v>
      </c>
    </row>
    <row r="32" spans="1:7">
      <c r="A32" s="22">
        <v>4</v>
      </c>
      <c r="B32" s="22">
        <f t="shared" si="9"/>
        <v>0</v>
      </c>
      <c r="C32" s="22">
        <f t="shared" si="5"/>
        <v>0</v>
      </c>
      <c r="D32" s="22">
        <f t="shared" si="6"/>
        <v>0</v>
      </c>
      <c r="E32" s="22">
        <f t="shared" si="7"/>
        <v>0</v>
      </c>
      <c r="F32" s="22">
        <f t="shared" si="8"/>
        <v>0</v>
      </c>
      <c r="G32" s="22" t="s">
        <v>69</v>
      </c>
    </row>
    <row r="33" spans="1:7">
      <c r="A33" s="22">
        <v>5</v>
      </c>
      <c r="B33" s="22">
        <f t="shared" si="9"/>
        <v>0</v>
      </c>
      <c r="C33" s="22">
        <f t="shared" si="5"/>
        <v>0</v>
      </c>
      <c r="D33" s="22">
        <f t="shared" si="6"/>
        <v>0</v>
      </c>
      <c r="E33" s="22">
        <f t="shared" si="7"/>
        <v>0</v>
      </c>
      <c r="F33" s="22">
        <f t="shared" si="8"/>
        <v>0</v>
      </c>
      <c r="G33" s="22" t="s">
        <v>69</v>
      </c>
    </row>
    <row r="34" spans="1:7">
      <c r="A34" s="22">
        <v>6</v>
      </c>
      <c r="B34" s="22">
        <f t="shared" si="9"/>
        <v>0</v>
      </c>
      <c r="C34" s="22">
        <f t="shared" si="5"/>
        <v>0</v>
      </c>
      <c r="D34" s="22">
        <f t="shared" si="6"/>
        <v>0</v>
      </c>
      <c r="E34" s="22">
        <f t="shared" si="7"/>
        <v>0</v>
      </c>
      <c r="F34" s="22">
        <f t="shared" si="8"/>
        <v>0</v>
      </c>
      <c r="G34" s="22" t="s">
        <v>69</v>
      </c>
    </row>
    <row r="35" spans="1:7">
      <c r="A35" s="22">
        <v>7</v>
      </c>
      <c r="B35" s="22">
        <f t="shared" si="9"/>
        <v>0</v>
      </c>
      <c r="C35" s="22">
        <f t="shared" si="5"/>
        <v>0</v>
      </c>
      <c r="D35" s="22">
        <f t="shared" si="6"/>
        <v>0</v>
      </c>
      <c r="E35" s="22">
        <f t="shared" si="7"/>
        <v>0</v>
      </c>
      <c r="F35" s="22">
        <f t="shared" si="8"/>
        <v>0</v>
      </c>
      <c r="G35" s="22" t="s">
        <v>69</v>
      </c>
    </row>
    <row r="36" spans="1:7">
      <c r="A36" s="22">
        <v>8</v>
      </c>
      <c r="B36" s="22">
        <f t="shared" si="9"/>
        <v>0</v>
      </c>
      <c r="C36" s="22">
        <f t="shared" si="5"/>
        <v>0</v>
      </c>
      <c r="D36" s="22">
        <f t="shared" si="6"/>
        <v>0</v>
      </c>
      <c r="E36" s="22">
        <f t="shared" si="7"/>
        <v>0</v>
      </c>
      <c r="F36" s="22">
        <f t="shared" si="8"/>
        <v>0</v>
      </c>
      <c r="G36" s="22" t="s">
        <v>69</v>
      </c>
    </row>
    <row r="37" spans="1:7">
      <c r="A37" s="22">
        <v>9</v>
      </c>
      <c r="B37" s="22">
        <f t="shared" si="9"/>
        <v>0</v>
      </c>
      <c r="C37" s="22">
        <f t="shared" si="5"/>
        <v>0</v>
      </c>
      <c r="D37" s="22">
        <f t="shared" si="6"/>
        <v>0</v>
      </c>
      <c r="E37" s="22">
        <f t="shared" si="7"/>
        <v>0</v>
      </c>
      <c r="F37" s="22">
        <f t="shared" si="8"/>
        <v>0</v>
      </c>
      <c r="G37" s="22" t="s">
        <v>69</v>
      </c>
    </row>
    <row r="38" spans="1:7">
      <c r="A38" s="22">
        <v>10</v>
      </c>
      <c r="B38" s="22">
        <f t="shared" si="9"/>
        <v>0</v>
      </c>
      <c r="C38" s="22">
        <f t="shared" si="5"/>
        <v>0</v>
      </c>
      <c r="D38" s="22">
        <f t="shared" si="6"/>
        <v>0</v>
      </c>
      <c r="E38" s="22">
        <f t="shared" si="7"/>
        <v>0</v>
      </c>
      <c r="F38" s="22">
        <f t="shared" si="8"/>
        <v>0</v>
      </c>
      <c r="G38" s="22" t="s">
        <v>69</v>
      </c>
    </row>
    <row r="39" spans="1:7">
      <c r="A39" s="22">
        <v>11</v>
      </c>
      <c r="B39" s="22">
        <f t="shared" si="9"/>
        <v>0</v>
      </c>
      <c r="C39" s="22">
        <f t="shared" si="5"/>
        <v>0</v>
      </c>
      <c r="D39" s="22">
        <f t="shared" si="6"/>
        <v>0</v>
      </c>
      <c r="E39" s="22">
        <f t="shared" si="7"/>
        <v>0</v>
      </c>
      <c r="F39" s="22">
        <f t="shared" si="8"/>
        <v>0</v>
      </c>
      <c r="G39" s="22" t="s">
        <v>69</v>
      </c>
    </row>
    <row r="40" spans="1:7">
      <c r="A40" s="22">
        <v>12</v>
      </c>
      <c r="B40" s="22">
        <f t="shared" si="9"/>
        <v>0</v>
      </c>
      <c r="C40" s="22">
        <f t="shared" si="5"/>
        <v>0</v>
      </c>
      <c r="D40" s="22">
        <f t="shared" si="6"/>
        <v>0</v>
      </c>
      <c r="E40" s="22">
        <f t="shared" si="7"/>
        <v>0</v>
      </c>
      <c r="F40" s="22">
        <f t="shared" si="8"/>
        <v>0</v>
      </c>
      <c r="G40" s="22" t="s">
        <v>69</v>
      </c>
    </row>
    <row r="41" spans="1:7">
      <c r="A41" s="25" t="s">
        <v>242</v>
      </c>
    </row>
    <row r="42" spans="1:7">
      <c r="A42" s="14" t="s">
        <v>5</v>
      </c>
      <c r="B42" s="19">
        <f>'1.Var.Fin'!D11</f>
        <v>0</v>
      </c>
      <c r="C42" s="14"/>
      <c r="D42" s="14"/>
      <c r="E42" s="14"/>
      <c r="F42" s="15"/>
    </row>
    <row r="43" spans="1:7">
      <c r="A43" s="14" t="s">
        <v>6</v>
      </c>
      <c r="B43" s="20">
        <f>+'1.Var.Fin'!D13</f>
        <v>0.14000000000000001</v>
      </c>
      <c r="C43" s="14"/>
      <c r="D43" s="14"/>
      <c r="E43" s="14"/>
      <c r="F43" s="14"/>
    </row>
    <row r="44" spans="1:7">
      <c r="A44" s="14" t="s">
        <v>7</v>
      </c>
      <c r="B44" s="16">
        <f>B43/12</f>
        <v>1.1666666666666667E-2</v>
      </c>
      <c r="C44" s="14"/>
      <c r="D44" s="14"/>
      <c r="E44" s="14"/>
      <c r="F44" s="14"/>
    </row>
    <row r="45" spans="1:7">
      <c r="A45" s="14" t="s">
        <v>8</v>
      </c>
      <c r="B45" s="17">
        <f>'1.Var.Fin'!D9</f>
        <v>2.1</v>
      </c>
      <c r="C45" s="14"/>
      <c r="D45" s="14"/>
      <c r="E45" s="14" t="s">
        <v>9</v>
      </c>
      <c r="F45" s="14"/>
    </row>
    <row r="46" spans="1:7">
      <c r="A46" s="14" t="s">
        <v>10</v>
      </c>
      <c r="B46" s="18">
        <f>'1.Var.Fin'!D14</f>
        <v>12</v>
      </c>
      <c r="C46" s="14" t="s">
        <v>11</v>
      </c>
      <c r="D46" s="14"/>
      <c r="E46" s="14"/>
      <c r="F46" s="14"/>
    </row>
    <row r="47" spans="1:7" ht="28">
      <c r="A47" s="21" t="s">
        <v>12</v>
      </c>
      <c r="B47" s="21" t="s">
        <v>123</v>
      </c>
      <c r="C47" s="21" t="s">
        <v>14</v>
      </c>
      <c r="D47" s="21" t="s">
        <v>15</v>
      </c>
      <c r="E47" s="21" t="s">
        <v>16</v>
      </c>
      <c r="F47" s="21" t="s">
        <v>17</v>
      </c>
      <c r="G47" s="21" t="s">
        <v>131</v>
      </c>
    </row>
    <row r="48" spans="1:7">
      <c r="A48" s="22">
        <v>1</v>
      </c>
      <c r="B48" s="22">
        <f>H42</f>
        <v>0</v>
      </c>
      <c r="C48" s="22">
        <f t="shared" ref="C48:C59" si="10">B48*$B$6</f>
        <v>0</v>
      </c>
      <c r="D48" s="22">
        <f t="shared" ref="D48:D59" si="11">C48*$B$7</f>
        <v>0</v>
      </c>
      <c r="E48" s="22">
        <f t="shared" ref="E48:E59" si="12">IFERROR(F48-C48,"")</f>
        <v>0</v>
      </c>
      <c r="F48" s="22">
        <f t="shared" ref="F48:F59" si="13">IF(B48&gt;1,IFERROR(($B$4*$B$6/((1-(1+$B$6)^(-$B$8)))),""),0)</f>
        <v>0</v>
      </c>
      <c r="G48" s="22" t="s">
        <v>70</v>
      </c>
    </row>
    <row r="49" spans="1:7">
      <c r="A49" s="22">
        <v>2</v>
      </c>
      <c r="B49" s="22">
        <f t="shared" ref="B49:B59" si="14">IFERROR(B48-E48, "")</f>
        <v>0</v>
      </c>
      <c r="C49" s="22">
        <f t="shared" si="10"/>
        <v>0</v>
      </c>
      <c r="D49" s="22">
        <f t="shared" si="11"/>
        <v>0</v>
      </c>
      <c r="E49" s="22">
        <f t="shared" si="12"/>
        <v>0</v>
      </c>
      <c r="F49" s="22">
        <f t="shared" si="13"/>
        <v>0</v>
      </c>
      <c r="G49" s="22" t="s">
        <v>70</v>
      </c>
    </row>
    <row r="50" spans="1:7">
      <c r="A50" s="22">
        <v>3</v>
      </c>
      <c r="B50" s="22">
        <f t="shared" si="14"/>
        <v>0</v>
      </c>
      <c r="C50" s="22">
        <f t="shared" si="10"/>
        <v>0</v>
      </c>
      <c r="D50" s="22">
        <f t="shared" si="11"/>
        <v>0</v>
      </c>
      <c r="E50" s="22">
        <f t="shared" si="12"/>
        <v>0</v>
      </c>
      <c r="F50" s="22">
        <f t="shared" si="13"/>
        <v>0</v>
      </c>
      <c r="G50" s="22" t="s">
        <v>70</v>
      </c>
    </row>
    <row r="51" spans="1:7">
      <c r="A51" s="22">
        <v>4</v>
      </c>
      <c r="B51" s="22">
        <f t="shared" si="14"/>
        <v>0</v>
      </c>
      <c r="C51" s="22">
        <f t="shared" si="10"/>
        <v>0</v>
      </c>
      <c r="D51" s="22">
        <f t="shared" si="11"/>
        <v>0</v>
      </c>
      <c r="E51" s="22">
        <f t="shared" si="12"/>
        <v>0</v>
      </c>
      <c r="F51" s="22">
        <f t="shared" si="13"/>
        <v>0</v>
      </c>
      <c r="G51" s="22" t="s">
        <v>70</v>
      </c>
    </row>
    <row r="52" spans="1:7">
      <c r="A52" s="22">
        <v>5</v>
      </c>
      <c r="B52" s="22">
        <f t="shared" si="14"/>
        <v>0</v>
      </c>
      <c r="C52" s="22">
        <f t="shared" si="10"/>
        <v>0</v>
      </c>
      <c r="D52" s="22">
        <f t="shared" si="11"/>
        <v>0</v>
      </c>
      <c r="E52" s="22">
        <f t="shared" si="12"/>
        <v>0</v>
      </c>
      <c r="F52" s="22">
        <f t="shared" si="13"/>
        <v>0</v>
      </c>
      <c r="G52" s="22" t="s">
        <v>70</v>
      </c>
    </row>
    <row r="53" spans="1:7">
      <c r="A53" s="22">
        <v>6</v>
      </c>
      <c r="B53" s="22">
        <f t="shared" si="14"/>
        <v>0</v>
      </c>
      <c r="C53" s="22">
        <f t="shared" si="10"/>
        <v>0</v>
      </c>
      <c r="D53" s="22">
        <f t="shared" si="11"/>
        <v>0</v>
      </c>
      <c r="E53" s="22">
        <f t="shared" si="12"/>
        <v>0</v>
      </c>
      <c r="F53" s="22">
        <f t="shared" si="13"/>
        <v>0</v>
      </c>
      <c r="G53" s="22" t="s">
        <v>70</v>
      </c>
    </row>
    <row r="54" spans="1:7">
      <c r="A54" s="22">
        <v>7</v>
      </c>
      <c r="B54" s="22">
        <f t="shared" si="14"/>
        <v>0</v>
      </c>
      <c r="C54" s="22">
        <f t="shared" si="10"/>
        <v>0</v>
      </c>
      <c r="D54" s="22">
        <f t="shared" si="11"/>
        <v>0</v>
      </c>
      <c r="E54" s="22">
        <f t="shared" si="12"/>
        <v>0</v>
      </c>
      <c r="F54" s="22">
        <f t="shared" si="13"/>
        <v>0</v>
      </c>
      <c r="G54" s="22" t="s">
        <v>70</v>
      </c>
    </row>
    <row r="55" spans="1:7">
      <c r="A55" s="22">
        <v>8</v>
      </c>
      <c r="B55" s="22">
        <f t="shared" si="14"/>
        <v>0</v>
      </c>
      <c r="C55" s="22">
        <f t="shared" si="10"/>
        <v>0</v>
      </c>
      <c r="D55" s="22">
        <f t="shared" si="11"/>
        <v>0</v>
      </c>
      <c r="E55" s="22">
        <f t="shared" si="12"/>
        <v>0</v>
      </c>
      <c r="F55" s="22">
        <f t="shared" si="13"/>
        <v>0</v>
      </c>
      <c r="G55" s="22" t="s">
        <v>70</v>
      </c>
    </row>
    <row r="56" spans="1:7">
      <c r="A56" s="22">
        <v>9</v>
      </c>
      <c r="B56" s="22">
        <f t="shared" si="14"/>
        <v>0</v>
      </c>
      <c r="C56" s="22">
        <f t="shared" si="10"/>
        <v>0</v>
      </c>
      <c r="D56" s="22">
        <f t="shared" si="11"/>
        <v>0</v>
      </c>
      <c r="E56" s="22">
        <f t="shared" si="12"/>
        <v>0</v>
      </c>
      <c r="F56" s="22">
        <f t="shared" si="13"/>
        <v>0</v>
      </c>
      <c r="G56" s="22" t="s">
        <v>70</v>
      </c>
    </row>
    <row r="57" spans="1:7">
      <c r="A57" s="22">
        <v>10</v>
      </c>
      <c r="B57" s="22">
        <f t="shared" si="14"/>
        <v>0</v>
      </c>
      <c r="C57" s="22">
        <f t="shared" si="10"/>
        <v>0</v>
      </c>
      <c r="D57" s="22">
        <f t="shared" si="11"/>
        <v>0</v>
      </c>
      <c r="E57" s="22">
        <f t="shared" si="12"/>
        <v>0</v>
      </c>
      <c r="F57" s="22">
        <f t="shared" si="13"/>
        <v>0</v>
      </c>
      <c r="G57" s="22" t="s">
        <v>70</v>
      </c>
    </row>
    <row r="58" spans="1:7">
      <c r="A58" s="22">
        <v>11</v>
      </c>
      <c r="B58" s="22">
        <f t="shared" si="14"/>
        <v>0</v>
      </c>
      <c r="C58" s="22">
        <f t="shared" si="10"/>
        <v>0</v>
      </c>
      <c r="D58" s="22">
        <f t="shared" si="11"/>
        <v>0</v>
      </c>
      <c r="E58" s="22">
        <f t="shared" si="12"/>
        <v>0</v>
      </c>
      <c r="F58" s="22">
        <f t="shared" si="13"/>
        <v>0</v>
      </c>
      <c r="G58" s="22" t="s">
        <v>70</v>
      </c>
    </row>
    <row r="59" spans="1:7">
      <c r="A59" s="22">
        <v>12</v>
      </c>
      <c r="B59" s="22">
        <f t="shared" si="14"/>
        <v>0</v>
      </c>
      <c r="C59" s="22">
        <f t="shared" si="10"/>
        <v>0</v>
      </c>
      <c r="D59" s="22">
        <f t="shared" si="11"/>
        <v>0</v>
      </c>
      <c r="E59" s="22">
        <f t="shared" si="12"/>
        <v>0</v>
      </c>
      <c r="F59" s="22">
        <f t="shared" si="13"/>
        <v>0</v>
      </c>
      <c r="G59" s="22"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96294-0165-4196-8F13-4767DE0F48C3}">
  <sheetPr>
    <tabColor rgb="FF0070C0"/>
  </sheetPr>
  <dimension ref="A1:F35"/>
  <sheetViews>
    <sheetView workbookViewId="0">
      <selection activeCell="A31" sqref="A31:A35"/>
    </sheetView>
  </sheetViews>
  <sheetFormatPr baseColWidth="10" defaultRowHeight="15"/>
  <cols>
    <col min="1" max="1" width="10.1640625" bestFit="1" customWidth="1"/>
    <col min="2" max="2" width="11.1640625" bestFit="1" customWidth="1"/>
    <col min="3" max="4" width="10.33203125" bestFit="1" customWidth="1"/>
    <col min="5" max="5" width="14.33203125" bestFit="1" customWidth="1"/>
    <col min="6" max="6" width="10.33203125" bestFit="1" customWidth="1"/>
  </cols>
  <sheetData>
    <row r="1" spans="1:6">
      <c r="A1" s="124" t="s">
        <v>295</v>
      </c>
    </row>
    <row r="3" spans="1:6">
      <c r="A3" s="25" t="s">
        <v>161</v>
      </c>
    </row>
    <row r="4" spans="1:6">
      <c r="A4" s="3" t="s">
        <v>5</v>
      </c>
      <c r="B4" s="4">
        <f>'1.Var.Fin'!B5</f>
        <v>76500</v>
      </c>
      <c r="C4" s="3"/>
      <c r="D4" s="3"/>
      <c r="E4" s="5" t="s">
        <v>9</v>
      </c>
      <c r="F4" s="6"/>
    </row>
    <row r="5" spans="1:6">
      <c r="A5" s="3" t="s">
        <v>6</v>
      </c>
      <c r="B5" s="7">
        <f>'1.Var.Fin'!B7</f>
        <v>0.09</v>
      </c>
      <c r="C5" s="3"/>
      <c r="D5" s="3"/>
      <c r="E5" s="3"/>
      <c r="F5" s="3"/>
    </row>
    <row r="6" spans="1:6">
      <c r="A6" s="3" t="s">
        <v>8</v>
      </c>
      <c r="B6" s="8">
        <f>'1.Var.Fin'!B15</f>
        <v>0.1</v>
      </c>
      <c r="C6" s="3"/>
      <c r="D6" s="3"/>
      <c r="E6" s="3"/>
      <c r="F6" s="3"/>
    </row>
    <row r="7" spans="1:6">
      <c r="A7" s="3" t="s">
        <v>19</v>
      </c>
      <c r="B7" s="9">
        <f>ROUNDUP('1.Var.Fin'!B8/12,0)</f>
        <v>3</v>
      </c>
      <c r="C7" s="23" t="s">
        <v>20</v>
      </c>
      <c r="D7" s="3"/>
      <c r="E7" s="3"/>
      <c r="F7" s="3"/>
    </row>
    <row r="8" spans="1:6" ht="24">
      <c r="A8" s="10" t="s">
        <v>21</v>
      </c>
      <c r="B8" s="10" t="s">
        <v>13</v>
      </c>
      <c r="C8" s="10" t="s">
        <v>14</v>
      </c>
      <c r="D8" s="10" t="s">
        <v>15</v>
      </c>
      <c r="E8" s="10" t="s">
        <v>16</v>
      </c>
      <c r="F8" s="11" t="s">
        <v>22</v>
      </c>
    </row>
    <row r="9" spans="1:6">
      <c r="A9" s="12" t="s">
        <v>68</v>
      </c>
      <c r="B9" s="13">
        <f>B4</f>
        <v>76500</v>
      </c>
      <c r="C9" s="13">
        <f>B9*$B$5</f>
        <v>6885</v>
      </c>
      <c r="D9" s="13">
        <f>B9*$B$6</f>
        <v>7650</v>
      </c>
      <c r="E9" s="13">
        <f>F9-C9</f>
        <v>23336.68893566394</v>
      </c>
      <c r="F9" s="13">
        <f>IF(B9&gt;=1,IFERROR($B$4*$B$5/((1-(1+$B$5)^(-$B$7))),0),0)</f>
        <v>30221.68893566394</v>
      </c>
    </row>
    <row r="10" spans="1:6">
      <c r="A10" s="12" t="s">
        <v>69</v>
      </c>
      <c r="B10" s="13">
        <f>B9-E9</f>
        <v>53163.311064336056</v>
      </c>
      <c r="C10" s="13">
        <f>B10*$B$5</f>
        <v>4784.6979957902449</v>
      </c>
      <c r="D10" s="13">
        <f>B10*$B$6</f>
        <v>5316.3311064336058</v>
      </c>
      <c r="E10" s="13">
        <f>F10-C10</f>
        <v>25436.990939873696</v>
      </c>
      <c r="F10" s="13">
        <f>IF(B10&gt;=1,IFERROR($B$4*$B$5/((1-(1+$B$5)^(-$B$7))),0),0)</f>
        <v>30221.68893566394</v>
      </c>
    </row>
    <row r="11" spans="1:6">
      <c r="A11" s="12" t="s">
        <v>70</v>
      </c>
      <c r="B11" s="13">
        <f>B10-E10</f>
        <v>27726.32012446236</v>
      </c>
      <c r="C11" s="13">
        <f>B11*$B$5</f>
        <v>2495.3688112016121</v>
      </c>
      <c r="D11" s="13">
        <f>B11*$B$6</f>
        <v>2772.6320124462363</v>
      </c>
      <c r="E11" s="13">
        <f>F11-C11</f>
        <v>27726.320124462327</v>
      </c>
      <c r="F11" s="13">
        <f>IF(B11&gt;=1,IFERROR($B$4*$B$5/((1-(1+$B$5)^(-$B$7))),0),0)</f>
        <v>30221.68893566394</v>
      </c>
    </row>
    <row r="12" spans="1:6">
      <c r="A12" s="12" t="s">
        <v>297</v>
      </c>
      <c r="B12" s="13">
        <f t="shared" ref="B12:B13" si="0">B11-E11</f>
        <v>3.2741809263825417E-11</v>
      </c>
      <c r="C12" s="13">
        <f>B12*$B$5</f>
        <v>2.9467628337442873E-12</v>
      </c>
      <c r="D12" s="13">
        <f>B12*$B$6</f>
        <v>3.2741809263825417E-12</v>
      </c>
      <c r="E12" s="13">
        <f t="shared" ref="E12:E13" si="1">F12-C12</f>
        <v>-2.9467628337442873E-12</v>
      </c>
      <c r="F12" s="13">
        <f>IF(B12&gt;=1,IFERROR($B$4*$B$5/((1-(1+$B$5)^(-$B$7))),0),0)</f>
        <v>0</v>
      </c>
    </row>
    <row r="13" spans="1:6">
      <c r="A13" s="12" t="s">
        <v>298</v>
      </c>
      <c r="B13" s="13">
        <f t="shared" si="0"/>
        <v>3.5688572097569706E-11</v>
      </c>
      <c r="C13" s="13">
        <f>B13*$B$5</f>
        <v>3.2119714887812734E-12</v>
      </c>
      <c r="D13" s="13">
        <f>B13*$B$6</f>
        <v>3.5688572097569707E-12</v>
      </c>
      <c r="E13" s="13">
        <f t="shared" si="1"/>
        <v>-3.2119714887812734E-12</v>
      </c>
      <c r="F13" s="13">
        <f>IF(B13&gt;=1,IFERROR($B$4*$B$5/((1-(1+$B$5)^(-$B$7))),0),0)</f>
        <v>0</v>
      </c>
    </row>
    <row r="14" spans="1:6">
      <c r="A14" s="25" t="s">
        <v>162</v>
      </c>
    </row>
    <row r="15" spans="1:6">
      <c r="A15" s="3" t="s">
        <v>5</v>
      </c>
      <c r="B15" s="4">
        <f>'1.Var.Fin'!C5</f>
        <v>3698500.8717999998</v>
      </c>
      <c r="C15" s="3"/>
      <c r="D15" s="3"/>
      <c r="E15" s="5" t="s">
        <v>9</v>
      </c>
      <c r="F15" s="6"/>
    </row>
    <row r="16" spans="1:6">
      <c r="A16" s="3" t="s">
        <v>6</v>
      </c>
      <c r="B16" s="7">
        <f>'1.Var.Fin'!C7</f>
        <v>0.11</v>
      </c>
      <c r="C16" s="3"/>
      <c r="D16" s="3"/>
      <c r="E16" s="3"/>
      <c r="F16" s="3"/>
    </row>
    <row r="17" spans="1:6">
      <c r="A17" s="3" t="s">
        <v>8</v>
      </c>
      <c r="B17" s="8">
        <f>'1.Var.Fin'!C15</f>
        <v>0.1</v>
      </c>
      <c r="C17" s="3"/>
      <c r="D17" s="3"/>
      <c r="E17" s="3"/>
      <c r="F17" s="3"/>
    </row>
    <row r="18" spans="1:6">
      <c r="A18" s="3" t="s">
        <v>19</v>
      </c>
      <c r="B18" s="9">
        <f>ROUNDUP('1.Var.Fin'!C8/12,0)</f>
        <v>3</v>
      </c>
      <c r="C18" s="23" t="s">
        <v>20</v>
      </c>
      <c r="D18" s="3"/>
      <c r="E18" s="3"/>
      <c r="F18" s="3"/>
    </row>
    <row r="19" spans="1:6" ht="24">
      <c r="A19" s="10" t="s">
        <v>21</v>
      </c>
      <c r="B19" s="10" t="s">
        <v>13</v>
      </c>
      <c r="C19" s="10" t="s">
        <v>14</v>
      </c>
      <c r="D19" s="10" t="s">
        <v>15</v>
      </c>
      <c r="E19" s="10" t="s">
        <v>16</v>
      </c>
      <c r="F19" s="11" t="s">
        <v>22</v>
      </c>
    </row>
    <row r="20" spans="1:6">
      <c r="A20" s="12" t="s">
        <v>69</v>
      </c>
      <c r="B20" s="13">
        <f>H15</f>
        <v>0</v>
      </c>
      <c r="C20" s="13">
        <f>B20*$B$5</f>
        <v>0</v>
      </c>
      <c r="D20" s="13">
        <f>B20*$B$6</f>
        <v>0</v>
      </c>
      <c r="E20" s="13">
        <f>F20-C20</f>
        <v>0</v>
      </c>
      <c r="F20" s="13">
        <f>IF(B20&gt;=1,IFERROR($B$4*$B$5/((1-(1+$B$5)^(-$B$7))),0),0)</f>
        <v>0</v>
      </c>
    </row>
    <row r="21" spans="1:6">
      <c r="A21" s="12" t="s">
        <v>70</v>
      </c>
      <c r="B21" s="13">
        <f>B20-E20</f>
        <v>0</v>
      </c>
      <c r="C21" s="13">
        <f>B21*$B$5</f>
        <v>0</v>
      </c>
      <c r="D21" s="13">
        <f>B21*$B$6</f>
        <v>0</v>
      </c>
      <c r="E21" s="13">
        <f>F21-C21</f>
        <v>0</v>
      </c>
      <c r="F21" s="13">
        <f>IF(B21&gt;=1,IFERROR($B$4*$B$5/((1-(1+$B$5)^(-$B$7))),0),0)</f>
        <v>0</v>
      </c>
    </row>
    <row r="22" spans="1:6">
      <c r="A22" s="12" t="s">
        <v>297</v>
      </c>
      <c r="B22" s="13">
        <f>B21-E21</f>
        <v>0</v>
      </c>
      <c r="C22" s="13">
        <f>B22*$B$5</f>
        <v>0</v>
      </c>
      <c r="D22" s="13">
        <f>B22*$B$6</f>
        <v>0</v>
      </c>
      <c r="E22" s="13">
        <f>F22-C22</f>
        <v>0</v>
      </c>
      <c r="F22" s="13">
        <f>IF(B22&gt;=1,IFERROR($B$4*$B$5/((1-(1+$B$5)^(-$B$7))),0),0)</f>
        <v>0</v>
      </c>
    </row>
    <row r="23" spans="1:6">
      <c r="A23" s="12" t="s">
        <v>298</v>
      </c>
      <c r="B23" s="13">
        <f t="shared" ref="B23:B24" si="2">B22-E22</f>
        <v>0</v>
      </c>
      <c r="C23" s="13">
        <f>B23*$B$5</f>
        <v>0</v>
      </c>
      <c r="D23" s="13">
        <f>B23*$B$6</f>
        <v>0</v>
      </c>
      <c r="E23" s="13">
        <f t="shared" ref="E23:E24" si="3">F23-C23</f>
        <v>0</v>
      </c>
      <c r="F23" s="13">
        <f>IF(B23&gt;=1,IFERROR($B$4*$B$5/((1-(1+$B$5)^(-$B$7))),0),0)</f>
        <v>0</v>
      </c>
    </row>
    <row r="24" spans="1:6">
      <c r="A24" s="12" t="s">
        <v>299</v>
      </c>
      <c r="B24" s="13">
        <f t="shared" si="2"/>
        <v>0</v>
      </c>
      <c r="C24" s="13">
        <f>B24*$B$5</f>
        <v>0</v>
      </c>
      <c r="D24" s="13">
        <f>B24*$B$6</f>
        <v>0</v>
      </c>
      <c r="E24" s="13">
        <f t="shared" si="3"/>
        <v>0</v>
      </c>
      <c r="F24" s="13">
        <f>IF(B24&gt;=1,IFERROR($B$4*$B$5/((1-(1+$B$5)^(-$B$7))),0),0)</f>
        <v>0</v>
      </c>
    </row>
    <row r="25" spans="1:6">
      <c r="A25" s="25" t="s">
        <v>242</v>
      </c>
    </row>
    <row r="26" spans="1:6">
      <c r="A26" s="3" t="s">
        <v>5</v>
      </c>
      <c r="B26" s="4">
        <f>'1.Var.Fin'!D5</f>
        <v>0</v>
      </c>
      <c r="C26" s="3"/>
      <c r="D26" s="3"/>
      <c r="E26" s="5" t="s">
        <v>9</v>
      </c>
      <c r="F26" s="6"/>
    </row>
    <row r="27" spans="1:6">
      <c r="A27" s="3" t="s">
        <v>6</v>
      </c>
      <c r="B27" s="7">
        <f>'1.Var.Fin'!D7</f>
        <v>0.1</v>
      </c>
      <c r="C27" s="3"/>
      <c r="D27" s="3"/>
      <c r="E27" s="3"/>
      <c r="F27" s="3"/>
    </row>
    <row r="28" spans="1:6">
      <c r="A28" s="3" t="s">
        <v>8</v>
      </c>
      <c r="B28" s="8">
        <f>'1.Var.Fin'!D15</f>
        <v>0.1</v>
      </c>
      <c r="C28" s="3"/>
      <c r="D28" s="3"/>
      <c r="E28" s="3"/>
      <c r="F28" s="3"/>
    </row>
    <row r="29" spans="1:6">
      <c r="A29" s="3" t="s">
        <v>19</v>
      </c>
      <c r="B29" s="9">
        <f>ROUNDUP('1.Var.Fin'!D8/12,0)</f>
        <v>3</v>
      </c>
      <c r="C29" s="23" t="s">
        <v>20</v>
      </c>
      <c r="D29" s="3"/>
      <c r="E29" s="3"/>
      <c r="F29" s="3"/>
    </row>
    <row r="30" spans="1:6" ht="24">
      <c r="A30" s="10" t="s">
        <v>21</v>
      </c>
      <c r="B30" s="10" t="s">
        <v>13</v>
      </c>
      <c r="C30" s="10" t="s">
        <v>14</v>
      </c>
      <c r="D30" s="10" t="s">
        <v>15</v>
      </c>
      <c r="E30" s="10" t="s">
        <v>16</v>
      </c>
      <c r="F30" s="11" t="s">
        <v>22</v>
      </c>
    </row>
    <row r="31" spans="1:6">
      <c r="A31" s="12" t="s">
        <v>70</v>
      </c>
      <c r="B31" s="13">
        <f>H26</f>
        <v>0</v>
      </c>
      <c r="C31" s="13">
        <f>B31*$B$5</f>
        <v>0</v>
      </c>
      <c r="D31" s="13">
        <f>B31*$B$6</f>
        <v>0</v>
      </c>
      <c r="E31" s="13">
        <f>F31-C31</f>
        <v>0</v>
      </c>
      <c r="F31" s="13">
        <f>IF(B31&gt;=1,IFERROR($B$4*$B$5/((1-(1+$B$5)^(-$B$7))),0),0)</f>
        <v>0</v>
      </c>
    </row>
    <row r="32" spans="1:6">
      <c r="A32" s="12" t="s">
        <v>297</v>
      </c>
      <c r="B32" s="13">
        <f>B31-E31</f>
        <v>0</v>
      </c>
      <c r="C32" s="13">
        <f>B32*$B$5</f>
        <v>0</v>
      </c>
      <c r="D32" s="13">
        <f>B32*$B$6</f>
        <v>0</v>
      </c>
      <c r="E32" s="13">
        <f>F32-C32</f>
        <v>0</v>
      </c>
      <c r="F32" s="13">
        <f>IF(B32&gt;=1,IFERROR($B$4*$B$5/((1-(1+$B$5)^(-$B$7))),0),0)</f>
        <v>0</v>
      </c>
    </row>
    <row r="33" spans="1:6">
      <c r="A33" s="12" t="s">
        <v>298</v>
      </c>
      <c r="B33" s="13">
        <f>B32-E32</f>
        <v>0</v>
      </c>
      <c r="C33" s="13">
        <f>B33*$B$5</f>
        <v>0</v>
      </c>
      <c r="D33" s="13">
        <f>B33*$B$6</f>
        <v>0</v>
      </c>
      <c r="E33" s="13">
        <f>F33-C33</f>
        <v>0</v>
      </c>
      <c r="F33" s="13">
        <f>IF(B33&gt;=1,IFERROR($B$4*$B$5/((1-(1+$B$5)^(-$B$7))),0),0)</f>
        <v>0</v>
      </c>
    </row>
    <row r="34" spans="1:6">
      <c r="A34" s="12" t="s">
        <v>299</v>
      </c>
      <c r="B34" s="13">
        <f t="shared" ref="B34:B35" si="4">B33-E33</f>
        <v>0</v>
      </c>
      <c r="C34" s="13">
        <f>B34*$B$5</f>
        <v>0</v>
      </c>
      <c r="D34" s="13">
        <f>B34*$B$6</f>
        <v>0</v>
      </c>
      <c r="E34" s="13">
        <f t="shared" ref="E34:E35" si="5">F34-C34</f>
        <v>0</v>
      </c>
      <c r="F34" s="13">
        <f>IF(B34&gt;=1,IFERROR($B$4*$B$5/((1-(1+$B$5)^(-$B$7))),0),0)</f>
        <v>0</v>
      </c>
    </row>
    <row r="35" spans="1:6">
      <c r="A35" s="12" t="s">
        <v>300</v>
      </c>
      <c r="B35" s="13">
        <f t="shared" si="4"/>
        <v>0</v>
      </c>
      <c r="C35" s="13">
        <f>B35*$B$5</f>
        <v>0</v>
      </c>
      <c r="D35" s="13">
        <f>B35*$B$6</f>
        <v>0</v>
      </c>
      <c r="E35" s="13">
        <f t="shared" si="5"/>
        <v>0</v>
      </c>
      <c r="F35" s="13">
        <f>IF(B35&gt;=1,IFERROR($B$4*$B$5/((1-(1+$B$5)^(-$B$7))),0),0)</f>
        <v>0</v>
      </c>
    </row>
  </sheetData>
  <phoneticPr fontId="4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F968-7470-482E-904F-4124FAB5113C}">
  <sheetPr>
    <tabColor rgb="FF0070C0"/>
  </sheetPr>
  <dimension ref="A1:F35"/>
  <sheetViews>
    <sheetView workbookViewId="0">
      <selection activeCell="K21" sqref="K21"/>
    </sheetView>
  </sheetViews>
  <sheetFormatPr baseColWidth="10" defaultRowHeight="15"/>
  <cols>
    <col min="1" max="1" width="8.83203125" bestFit="1" customWidth="1"/>
    <col min="2" max="2" width="13.5" customWidth="1"/>
    <col min="3" max="4" width="9.5" bestFit="1" customWidth="1"/>
    <col min="5" max="5" width="13.5" bestFit="1" customWidth="1"/>
    <col min="6" max="6" width="9.5" bestFit="1" customWidth="1"/>
  </cols>
  <sheetData>
    <row r="1" spans="1:6">
      <c r="A1" s="124" t="s">
        <v>296</v>
      </c>
    </row>
    <row r="3" spans="1:6">
      <c r="A3" s="236" t="s">
        <v>161</v>
      </c>
    </row>
    <row r="4" spans="1:6">
      <c r="A4" s="3" t="s">
        <v>5</v>
      </c>
      <c r="B4" s="4">
        <f>'1.Var.Fin'!B17</f>
        <v>0</v>
      </c>
      <c r="C4" s="3"/>
      <c r="D4" s="3"/>
      <c r="E4" s="5" t="s">
        <v>9</v>
      </c>
      <c r="F4" s="6"/>
    </row>
    <row r="5" spans="1:6">
      <c r="A5" s="3" t="s">
        <v>6</v>
      </c>
      <c r="B5" s="7">
        <f>'1.Var.Fin'!B19</f>
        <v>0</v>
      </c>
      <c r="C5" s="3"/>
      <c r="D5" s="3"/>
      <c r="E5" s="3"/>
      <c r="F5" s="3"/>
    </row>
    <row r="6" spans="1:6">
      <c r="A6" s="3" t="s">
        <v>8</v>
      </c>
      <c r="B6" s="8">
        <f>'1.Var.Fin'!B21</f>
        <v>0.1</v>
      </c>
      <c r="C6" s="3"/>
      <c r="D6" s="3"/>
      <c r="E6" s="3"/>
      <c r="F6" s="3"/>
    </row>
    <row r="7" spans="1:6">
      <c r="A7" s="3" t="s">
        <v>19</v>
      </c>
      <c r="B7" s="9">
        <f>ROUNDUP('1.Var.Fin'!B8/12,0)</f>
        <v>3</v>
      </c>
      <c r="C7" s="23" t="s">
        <v>20</v>
      </c>
      <c r="D7" s="3"/>
      <c r="E7" s="3"/>
      <c r="F7" s="3"/>
    </row>
    <row r="8" spans="1:6" ht="24">
      <c r="A8" s="10" t="s">
        <v>21</v>
      </c>
      <c r="B8" s="10" t="s">
        <v>13</v>
      </c>
      <c r="C8" s="10" t="s">
        <v>14</v>
      </c>
      <c r="D8" s="10" t="s">
        <v>15</v>
      </c>
      <c r="E8" s="10" t="s">
        <v>16</v>
      </c>
      <c r="F8" s="11" t="s">
        <v>22</v>
      </c>
    </row>
    <row r="9" spans="1:6">
      <c r="A9" s="12" t="s">
        <v>68</v>
      </c>
      <c r="B9" s="13">
        <f>B4</f>
        <v>0</v>
      </c>
      <c r="C9" s="13">
        <f>B9*$B$5</f>
        <v>0</v>
      </c>
      <c r="D9" s="13">
        <f>B9*$B$6</f>
        <v>0</v>
      </c>
      <c r="E9" s="13">
        <f>F9-C9</f>
        <v>0</v>
      </c>
      <c r="F9" s="13">
        <f>IF(B9&gt;=1,IFERROR($B$4*$B$5/((1-(1+$B$5)^(-$B$7))),0),0)</f>
        <v>0</v>
      </c>
    </row>
    <row r="10" spans="1:6">
      <c r="A10" s="12" t="s">
        <v>69</v>
      </c>
      <c r="B10" s="13">
        <f>B9-E9</f>
        <v>0</v>
      </c>
      <c r="C10" s="13">
        <f>B10*$B$5</f>
        <v>0</v>
      </c>
      <c r="D10" s="13">
        <f>B10*$B$6</f>
        <v>0</v>
      </c>
      <c r="E10" s="13">
        <f>F10-C10</f>
        <v>0</v>
      </c>
      <c r="F10" s="13">
        <f>IF(B10&gt;=1,IFERROR($B$4*$B$5/((1-(1+$B$5)^(-$B$7))),0),0)</f>
        <v>0</v>
      </c>
    </row>
    <row r="11" spans="1:6">
      <c r="A11" s="12" t="s">
        <v>70</v>
      </c>
      <c r="B11" s="13">
        <f>B10-E10</f>
        <v>0</v>
      </c>
      <c r="C11" s="13">
        <f>B11*$B$5</f>
        <v>0</v>
      </c>
      <c r="D11" s="13">
        <f>B11*$B$6</f>
        <v>0</v>
      </c>
      <c r="E11" s="13">
        <f>F11-C11</f>
        <v>0</v>
      </c>
      <c r="F11" s="13">
        <f>IF(B11&gt;=1,IFERROR($B$4*$B$5/((1-(1+$B$5)^(-$B$7))),0),0)</f>
        <v>0</v>
      </c>
    </row>
    <row r="12" spans="1:6">
      <c r="A12" s="12" t="s">
        <v>297</v>
      </c>
      <c r="B12" s="13">
        <f t="shared" ref="B12:B13" si="0">B11-E11</f>
        <v>0</v>
      </c>
      <c r="C12" s="13">
        <f>B12*$B$5</f>
        <v>0</v>
      </c>
      <c r="D12" s="13">
        <f>B12*$B$6</f>
        <v>0</v>
      </c>
      <c r="E12" s="13">
        <f t="shared" ref="E12:E13" si="1">F12-C12</f>
        <v>0</v>
      </c>
      <c r="F12" s="13">
        <f>IF(B12&gt;=1,IFERROR($B$4*$B$5/((1-(1+$B$5)^(-$B$7))),0),0)</f>
        <v>0</v>
      </c>
    </row>
    <row r="13" spans="1:6">
      <c r="A13" s="12" t="s">
        <v>298</v>
      </c>
      <c r="B13" s="13">
        <f t="shared" si="0"/>
        <v>0</v>
      </c>
      <c r="C13" s="13">
        <f>B13*$B$5</f>
        <v>0</v>
      </c>
      <c r="D13" s="13">
        <f>B13*$B$6</f>
        <v>0</v>
      </c>
      <c r="E13" s="13">
        <f t="shared" si="1"/>
        <v>0</v>
      </c>
      <c r="F13" s="13">
        <f>IF(B13&gt;=1,IFERROR($B$4*$B$5/((1-(1+$B$5)^(-$B$7))),0),0)</f>
        <v>0</v>
      </c>
    </row>
    <row r="14" spans="1:6">
      <c r="A14" s="236" t="s">
        <v>162</v>
      </c>
    </row>
    <row r="15" spans="1:6">
      <c r="A15" s="3" t="s">
        <v>5</v>
      </c>
      <c r="B15" s="4">
        <f>'1.Var.Fin'!C17</f>
        <v>0</v>
      </c>
      <c r="C15" s="3"/>
      <c r="D15" s="3"/>
      <c r="E15" s="5" t="s">
        <v>9</v>
      </c>
      <c r="F15" s="6"/>
    </row>
    <row r="16" spans="1:6">
      <c r="A16" s="3" t="s">
        <v>6</v>
      </c>
      <c r="B16" s="7">
        <f>'1.Var.Fin'!C19</f>
        <v>0</v>
      </c>
      <c r="C16" s="3"/>
      <c r="D16" s="3"/>
      <c r="E16" s="3"/>
      <c r="F16" s="3"/>
    </row>
    <row r="17" spans="1:6">
      <c r="A17" s="3" t="s">
        <v>8</v>
      </c>
      <c r="B17" s="8">
        <f>'1.Var.Fin'!C21</f>
        <v>0.1</v>
      </c>
      <c r="C17" s="3"/>
      <c r="D17" s="3"/>
      <c r="E17" s="3"/>
      <c r="F17" s="3"/>
    </row>
    <row r="18" spans="1:6">
      <c r="A18" s="3" t="s">
        <v>19</v>
      </c>
      <c r="B18" s="9">
        <f>ROUNDUP('1.Var.Fin'!C8/12,0)</f>
        <v>3</v>
      </c>
      <c r="C18" s="23" t="s">
        <v>20</v>
      </c>
      <c r="D18" s="3"/>
      <c r="E18" s="3"/>
      <c r="F18" s="3"/>
    </row>
    <row r="19" spans="1:6" ht="24">
      <c r="A19" s="10" t="s">
        <v>21</v>
      </c>
      <c r="B19" s="10" t="s">
        <v>13</v>
      </c>
      <c r="C19" s="10" t="s">
        <v>14</v>
      </c>
      <c r="D19" s="10" t="s">
        <v>15</v>
      </c>
      <c r="E19" s="10" t="s">
        <v>16</v>
      </c>
      <c r="F19" s="11" t="s">
        <v>22</v>
      </c>
    </row>
    <row r="20" spans="1:6">
      <c r="A20" s="12" t="s">
        <v>68</v>
      </c>
      <c r="B20" s="13">
        <f>H15</f>
        <v>0</v>
      </c>
      <c r="C20" s="13">
        <f>B20*$B$5</f>
        <v>0</v>
      </c>
      <c r="D20" s="13">
        <f>B20*$B$6</f>
        <v>0</v>
      </c>
      <c r="E20" s="13">
        <f>F20-C20</f>
        <v>0</v>
      </c>
      <c r="F20" s="13">
        <f>IF(B20&gt;=1,IFERROR($B$4*$B$5/((1-(1+$B$5)^(-$B$7))),0),0)</f>
        <v>0</v>
      </c>
    </row>
    <row r="21" spans="1:6">
      <c r="A21" s="12" t="s">
        <v>69</v>
      </c>
      <c r="B21" s="13">
        <f>B20-E20</f>
        <v>0</v>
      </c>
      <c r="C21" s="13">
        <f>B21*$B$5</f>
        <v>0</v>
      </c>
      <c r="D21" s="13">
        <f>B21*$B$6</f>
        <v>0</v>
      </c>
      <c r="E21" s="13">
        <f>F21-C21</f>
        <v>0</v>
      </c>
      <c r="F21" s="13">
        <f>IF(B21&gt;=1,IFERROR($B$4*$B$5/((1-(1+$B$5)^(-$B$7))),0),0)</f>
        <v>0</v>
      </c>
    </row>
    <row r="22" spans="1:6">
      <c r="A22" s="12" t="s">
        <v>70</v>
      </c>
      <c r="B22" s="13">
        <f>B21-E21</f>
        <v>0</v>
      </c>
      <c r="C22" s="13">
        <f>B22*$B$5</f>
        <v>0</v>
      </c>
      <c r="D22" s="13">
        <f>B22*$B$6</f>
        <v>0</v>
      </c>
      <c r="E22" s="13">
        <f>F22-C22</f>
        <v>0</v>
      </c>
      <c r="F22" s="13">
        <f>IF(B22&gt;=1,IFERROR($B$4*$B$5/((1-(1+$B$5)^(-$B$7))),0),0)</f>
        <v>0</v>
      </c>
    </row>
    <row r="23" spans="1:6">
      <c r="A23" s="12" t="s">
        <v>297</v>
      </c>
      <c r="B23" s="13">
        <f t="shared" ref="B23:B24" si="2">B22-E22</f>
        <v>0</v>
      </c>
      <c r="C23" s="13">
        <f>B23*$B$5</f>
        <v>0</v>
      </c>
      <c r="D23" s="13">
        <f>B23*$B$6</f>
        <v>0</v>
      </c>
      <c r="E23" s="13">
        <f t="shared" ref="E23:E24" si="3">F23-C23</f>
        <v>0</v>
      </c>
      <c r="F23" s="13">
        <f>IF(B23&gt;=1,IFERROR($B$4*$B$5/((1-(1+$B$5)^(-$B$7))),0),0)</f>
        <v>0</v>
      </c>
    </row>
    <row r="24" spans="1:6">
      <c r="A24" s="12" t="s">
        <v>298</v>
      </c>
      <c r="B24" s="13">
        <f t="shared" si="2"/>
        <v>0</v>
      </c>
      <c r="C24" s="13">
        <f>B24*$B$5</f>
        <v>0</v>
      </c>
      <c r="D24" s="13">
        <f>B24*$B$6</f>
        <v>0</v>
      </c>
      <c r="E24" s="13">
        <f t="shared" si="3"/>
        <v>0</v>
      </c>
      <c r="F24" s="13">
        <f>IF(B24&gt;=1,IFERROR($B$4*$B$5/((1-(1+$B$5)^(-$B$7))),0),0)</f>
        <v>0</v>
      </c>
    </row>
    <row r="25" spans="1:6">
      <c r="A25" s="236" t="s">
        <v>242</v>
      </c>
    </row>
    <row r="26" spans="1:6">
      <c r="A26" s="3" t="s">
        <v>5</v>
      </c>
      <c r="B26" s="4">
        <f>'1.Var.Fin'!D17</f>
        <v>0</v>
      </c>
      <c r="C26" s="3"/>
      <c r="D26" s="3"/>
      <c r="E26" s="5" t="s">
        <v>9</v>
      </c>
      <c r="F26" s="6"/>
    </row>
    <row r="27" spans="1:6">
      <c r="A27" s="3" t="s">
        <v>6</v>
      </c>
      <c r="B27" s="7">
        <f>'1.Var.Fin'!D19</f>
        <v>0</v>
      </c>
      <c r="C27" s="3"/>
      <c r="D27" s="3"/>
      <c r="E27" s="3"/>
      <c r="F27" s="3"/>
    </row>
    <row r="28" spans="1:6">
      <c r="A28" s="3" t="s">
        <v>8</v>
      </c>
      <c r="B28" s="8">
        <f>'1.Var.Fin'!D21</f>
        <v>0.1</v>
      </c>
      <c r="C28" s="3"/>
      <c r="D28" s="3"/>
      <c r="E28" s="3"/>
      <c r="F28" s="3"/>
    </row>
    <row r="29" spans="1:6">
      <c r="A29" s="3" t="s">
        <v>19</v>
      </c>
      <c r="B29" s="9">
        <f>ROUNDUP('1.Var.Fin'!D8/12,0)</f>
        <v>3</v>
      </c>
      <c r="C29" s="23" t="s">
        <v>20</v>
      </c>
      <c r="D29" s="3"/>
      <c r="E29" s="3"/>
      <c r="F29" s="3"/>
    </row>
    <row r="30" spans="1:6" ht="24">
      <c r="A30" s="10" t="s">
        <v>21</v>
      </c>
      <c r="B30" s="10" t="s">
        <v>13</v>
      </c>
      <c r="C30" s="10" t="s">
        <v>14</v>
      </c>
      <c r="D30" s="10" t="s">
        <v>15</v>
      </c>
      <c r="E30" s="10" t="s">
        <v>16</v>
      </c>
      <c r="F30" s="11" t="s">
        <v>22</v>
      </c>
    </row>
    <row r="31" spans="1:6">
      <c r="A31" s="12" t="s">
        <v>68</v>
      </c>
      <c r="B31" s="13">
        <f>H26</f>
        <v>0</v>
      </c>
      <c r="C31" s="13">
        <f>B31*$B$5</f>
        <v>0</v>
      </c>
      <c r="D31" s="13">
        <f>B31*$B$6</f>
        <v>0</v>
      </c>
      <c r="E31" s="13">
        <f>F31-C31</f>
        <v>0</v>
      </c>
      <c r="F31" s="13">
        <f>IF(B31&gt;=1,IFERROR($B$4*$B$5/((1-(1+$B$5)^(-$B$7))),0),0)</f>
        <v>0</v>
      </c>
    </row>
    <row r="32" spans="1:6">
      <c r="A32" s="12" t="s">
        <v>69</v>
      </c>
      <c r="B32" s="13">
        <f>B31-E31</f>
        <v>0</v>
      </c>
      <c r="C32" s="13">
        <f>B32*$B$5</f>
        <v>0</v>
      </c>
      <c r="D32" s="13">
        <f>B32*$B$6</f>
        <v>0</v>
      </c>
      <c r="E32" s="13">
        <f>F32-C32</f>
        <v>0</v>
      </c>
      <c r="F32" s="13">
        <f>IF(B32&gt;=1,IFERROR($B$4*$B$5/((1-(1+$B$5)^(-$B$7))),0),0)</f>
        <v>0</v>
      </c>
    </row>
    <row r="33" spans="1:6">
      <c r="A33" s="12" t="s">
        <v>70</v>
      </c>
      <c r="B33" s="13">
        <f>B32-E32</f>
        <v>0</v>
      </c>
      <c r="C33" s="13">
        <f>B33*$B$5</f>
        <v>0</v>
      </c>
      <c r="D33" s="13">
        <f>B33*$B$6</f>
        <v>0</v>
      </c>
      <c r="E33" s="13">
        <f>F33-C33</f>
        <v>0</v>
      </c>
      <c r="F33" s="13">
        <f>IF(B33&gt;=1,IFERROR($B$4*$B$5/((1-(1+$B$5)^(-$B$7))),0),0)</f>
        <v>0</v>
      </c>
    </row>
    <row r="34" spans="1:6">
      <c r="A34" s="12" t="s">
        <v>297</v>
      </c>
      <c r="B34" s="13">
        <f t="shared" ref="B34:B35" si="4">B33-E33</f>
        <v>0</v>
      </c>
      <c r="C34" s="13">
        <f>B34*$B$5</f>
        <v>0</v>
      </c>
      <c r="D34" s="13">
        <f>B34*$B$6</f>
        <v>0</v>
      </c>
      <c r="E34" s="13">
        <f t="shared" ref="E34:E35" si="5">F34-C34</f>
        <v>0</v>
      </c>
      <c r="F34" s="13">
        <f>IF(B34&gt;=1,IFERROR($B$4*$B$5/((1-(1+$B$5)^(-$B$7))),0),0)</f>
        <v>0</v>
      </c>
    </row>
    <row r="35" spans="1:6">
      <c r="A35" s="12" t="s">
        <v>298</v>
      </c>
      <c r="B35" s="13">
        <f t="shared" si="4"/>
        <v>0</v>
      </c>
      <c r="C35" s="13">
        <f>B35*$B$5</f>
        <v>0</v>
      </c>
      <c r="D35" s="13">
        <f>B35*$B$6</f>
        <v>0</v>
      </c>
      <c r="E35" s="13">
        <f t="shared" si="5"/>
        <v>0</v>
      </c>
      <c r="F35" s="13">
        <f>IF(B35&gt;=1,IFERROR($B$4*$B$5/((1-(1+$B$5)^(-$B$7))),0),0)</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4A40-9711-4174-A84C-05C5B982B7CF}">
  <sheetPr>
    <tabColor rgb="FF00B050"/>
  </sheetPr>
  <dimension ref="A1:N21"/>
  <sheetViews>
    <sheetView workbookViewId="0">
      <selection activeCell="D19" sqref="D19"/>
    </sheetView>
  </sheetViews>
  <sheetFormatPr baseColWidth="10" defaultColWidth="10.83203125" defaultRowHeight="13"/>
  <cols>
    <col min="1" max="1" width="2.5" style="24" bestFit="1" customWidth="1"/>
    <col min="2" max="2" width="47.83203125" style="24" customWidth="1"/>
    <col min="3" max="3" width="33" style="24" bestFit="1" customWidth="1"/>
    <col min="4" max="4" width="15.5" style="24" customWidth="1"/>
    <col min="5" max="5" width="7.5" style="24" bestFit="1" customWidth="1"/>
    <col min="6" max="6" width="9.83203125" style="24" bestFit="1" customWidth="1"/>
    <col min="7" max="16384" width="10.83203125" style="24"/>
  </cols>
  <sheetData>
    <row r="1" spans="1:14" ht="14">
      <c r="A1" s="124" t="s">
        <v>362</v>
      </c>
    </row>
    <row r="2" spans="1:14" ht="14">
      <c r="A2" s="124"/>
    </row>
    <row r="3" spans="1:14">
      <c r="A3" s="26"/>
      <c r="B3" s="27" t="s">
        <v>98</v>
      </c>
      <c r="C3" s="116" t="s">
        <v>309</v>
      </c>
      <c r="D3" s="230" t="s">
        <v>294</v>
      </c>
      <c r="E3" s="116" t="s">
        <v>39</v>
      </c>
      <c r="F3" s="116" t="s">
        <v>3</v>
      </c>
    </row>
    <row r="4" spans="1:14" s="25" customFormat="1" ht="15">
      <c r="A4" s="27" t="s">
        <v>26</v>
      </c>
      <c r="B4" s="27" t="s">
        <v>148</v>
      </c>
      <c r="C4" s="117" t="s">
        <v>27</v>
      </c>
      <c r="D4" s="231" t="s">
        <v>417</v>
      </c>
      <c r="E4" s="231" t="s">
        <v>418</v>
      </c>
      <c r="F4" s="231" t="s">
        <v>419</v>
      </c>
      <c r="H4"/>
      <c r="I4"/>
      <c r="J4"/>
      <c r="K4"/>
      <c r="L4"/>
      <c r="M4"/>
      <c r="N4"/>
    </row>
    <row r="5" spans="1:14" ht="15">
      <c r="A5" s="26"/>
      <c r="B5" s="26"/>
      <c r="C5" s="117" t="s">
        <v>365</v>
      </c>
      <c r="D5" s="231" t="s">
        <v>420</v>
      </c>
      <c r="E5" s="231" t="s">
        <v>421</v>
      </c>
      <c r="F5" s="231" t="s">
        <v>422</v>
      </c>
      <c r="H5"/>
      <c r="I5"/>
      <c r="J5"/>
      <c r="K5"/>
      <c r="L5"/>
      <c r="M5"/>
      <c r="N5"/>
    </row>
    <row r="6" spans="1:14" ht="15">
      <c r="A6" s="27" t="s">
        <v>29</v>
      </c>
      <c r="B6" s="27" t="s">
        <v>149</v>
      </c>
      <c r="C6" s="117" t="s">
        <v>366</v>
      </c>
      <c r="D6" s="231" t="s">
        <v>423</v>
      </c>
      <c r="E6" s="231" t="s">
        <v>424</v>
      </c>
      <c r="F6" s="231" t="s">
        <v>425</v>
      </c>
      <c r="H6"/>
      <c r="I6"/>
      <c r="J6"/>
      <c r="K6"/>
      <c r="L6"/>
      <c r="M6"/>
      <c r="N6"/>
    </row>
    <row r="7" spans="1:14" ht="15">
      <c r="A7" s="26"/>
      <c r="B7" s="26"/>
      <c r="C7" s="117" t="s">
        <v>38</v>
      </c>
      <c r="D7" s="231" t="s">
        <v>426</v>
      </c>
      <c r="E7" s="231" t="s">
        <v>427</v>
      </c>
      <c r="F7" s="231" t="s">
        <v>428</v>
      </c>
      <c r="H7"/>
      <c r="I7"/>
      <c r="J7"/>
      <c r="K7"/>
      <c r="L7"/>
      <c r="M7"/>
      <c r="N7"/>
    </row>
    <row r="8" spans="1:14" ht="15">
      <c r="A8" s="26"/>
      <c r="B8" s="26"/>
      <c r="C8" s="117" t="s">
        <v>28</v>
      </c>
      <c r="D8" s="231" t="s">
        <v>429</v>
      </c>
      <c r="E8" s="231" t="s">
        <v>430</v>
      </c>
      <c r="F8" s="231" t="s">
        <v>431</v>
      </c>
      <c r="H8"/>
      <c r="I8"/>
      <c r="J8"/>
      <c r="K8"/>
      <c r="L8"/>
      <c r="M8"/>
      <c r="N8"/>
    </row>
    <row r="9" spans="1:14" ht="15">
      <c r="A9" s="27" t="s">
        <v>32</v>
      </c>
      <c r="B9" s="27" t="s">
        <v>150</v>
      </c>
      <c r="C9" s="117" t="s">
        <v>31</v>
      </c>
      <c r="D9" s="231" t="s">
        <v>432</v>
      </c>
      <c r="E9" s="231" t="s">
        <v>433</v>
      </c>
      <c r="F9" s="231" t="s">
        <v>434</v>
      </c>
      <c r="H9"/>
      <c r="I9"/>
      <c r="J9"/>
      <c r="K9"/>
      <c r="L9"/>
      <c r="M9"/>
      <c r="N9"/>
    </row>
    <row r="10" spans="1:14" s="25" customFormat="1" ht="15">
      <c r="A10" s="27"/>
      <c r="B10" s="27"/>
      <c r="C10" s="117" t="s">
        <v>30</v>
      </c>
      <c r="D10" s="231" t="s">
        <v>435</v>
      </c>
      <c r="E10" s="231" t="s">
        <v>436</v>
      </c>
      <c r="F10" s="231" t="s">
        <v>437</v>
      </c>
      <c r="H10"/>
      <c r="I10"/>
      <c r="J10"/>
      <c r="K10"/>
      <c r="L10"/>
      <c r="M10"/>
      <c r="N10"/>
    </row>
    <row r="11" spans="1:14" ht="15">
      <c r="A11" s="26"/>
      <c r="B11" s="26"/>
      <c r="C11" s="117" t="s">
        <v>31</v>
      </c>
      <c r="D11" s="231" t="s">
        <v>438</v>
      </c>
      <c r="E11" s="231" t="s">
        <v>439</v>
      </c>
      <c r="F11" s="231" t="s">
        <v>440</v>
      </c>
      <c r="H11"/>
      <c r="I11"/>
      <c r="J11"/>
      <c r="K11"/>
      <c r="L11"/>
      <c r="M11"/>
      <c r="N11"/>
    </row>
    <row r="12" spans="1:14" ht="15">
      <c r="A12" s="26"/>
      <c r="B12" s="26"/>
      <c r="C12" s="117" t="s">
        <v>367</v>
      </c>
      <c r="D12" s="231" t="s">
        <v>441</v>
      </c>
      <c r="E12" s="231" t="s">
        <v>442</v>
      </c>
      <c r="F12" s="231" t="s">
        <v>443</v>
      </c>
      <c r="H12"/>
      <c r="I12"/>
      <c r="J12"/>
      <c r="K12"/>
      <c r="L12"/>
      <c r="M12"/>
      <c r="N12"/>
    </row>
    <row r="13" spans="1:14" ht="15">
      <c r="A13" s="26"/>
      <c r="B13" s="26"/>
      <c r="C13" s="117" t="s">
        <v>368</v>
      </c>
      <c r="D13" s="231" t="s">
        <v>444</v>
      </c>
      <c r="E13" s="231" t="s">
        <v>445</v>
      </c>
      <c r="F13" s="231" t="s">
        <v>446</v>
      </c>
      <c r="H13"/>
      <c r="I13"/>
      <c r="J13"/>
      <c r="K13"/>
      <c r="L13"/>
      <c r="M13"/>
      <c r="N13"/>
    </row>
    <row r="14" spans="1:14" ht="15">
      <c r="A14" s="26"/>
      <c r="B14" s="26"/>
      <c r="C14" s="117" t="s">
        <v>369</v>
      </c>
      <c r="D14" s="231" t="s">
        <v>447</v>
      </c>
      <c r="E14" s="231" t="s">
        <v>448</v>
      </c>
      <c r="F14" s="231" t="s">
        <v>449</v>
      </c>
      <c r="H14"/>
      <c r="I14"/>
      <c r="J14"/>
      <c r="K14"/>
      <c r="L14"/>
      <c r="M14"/>
      <c r="N14"/>
    </row>
    <row r="15" spans="1:14" ht="15">
      <c r="A15" s="26"/>
      <c r="B15" s="26"/>
      <c r="C15" s="117" t="s">
        <v>370</v>
      </c>
      <c r="D15" s="231" t="s">
        <v>450</v>
      </c>
      <c r="E15" s="231" t="s">
        <v>451</v>
      </c>
      <c r="F15" s="231" t="s">
        <v>452</v>
      </c>
      <c r="H15"/>
      <c r="I15"/>
      <c r="J15"/>
      <c r="K15"/>
      <c r="L15"/>
      <c r="M15"/>
      <c r="N15"/>
    </row>
    <row r="16" spans="1:14" ht="15">
      <c r="A16" s="26"/>
      <c r="B16" s="26"/>
      <c r="C16" s="117" t="s">
        <v>371</v>
      </c>
      <c r="D16" s="231" t="s">
        <v>453</v>
      </c>
      <c r="E16" s="231" t="s">
        <v>454</v>
      </c>
      <c r="F16" s="231" t="s">
        <v>455</v>
      </c>
      <c r="H16"/>
      <c r="I16"/>
      <c r="J16"/>
      <c r="K16"/>
      <c r="L16"/>
      <c r="M16"/>
      <c r="N16"/>
    </row>
    <row r="17" spans="1:14" ht="15">
      <c r="A17" s="27" t="s">
        <v>151</v>
      </c>
      <c r="B17" s="27" t="s">
        <v>33</v>
      </c>
      <c r="C17" s="117" t="s">
        <v>34</v>
      </c>
      <c r="D17" s="231" t="s">
        <v>456</v>
      </c>
      <c r="E17" s="231" t="s">
        <v>457</v>
      </c>
      <c r="F17" s="231" t="s">
        <v>458</v>
      </c>
      <c r="H17"/>
      <c r="I17"/>
      <c r="J17"/>
      <c r="K17"/>
      <c r="L17"/>
      <c r="M17"/>
      <c r="N17"/>
    </row>
    <row r="18" spans="1:14" ht="15">
      <c r="A18" s="26"/>
      <c r="B18" s="26"/>
      <c r="C18" s="117" t="s">
        <v>35</v>
      </c>
      <c r="D18" s="231" t="s">
        <v>459</v>
      </c>
      <c r="E18" s="231" t="s">
        <v>460</v>
      </c>
      <c r="F18" s="231" t="s">
        <v>461</v>
      </c>
      <c r="H18"/>
      <c r="I18"/>
      <c r="J18"/>
      <c r="K18"/>
      <c r="L18"/>
      <c r="M18"/>
      <c r="N18"/>
    </row>
    <row r="19" spans="1:14" s="25" customFormat="1" ht="15">
      <c r="A19" s="27"/>
      <c r="B19" s="27"/>
      <c r="C19" s="117" t="s">
        <v>36</v>
      </c>
      <c r="D19" s="231" t="s">
        <v>462</v>
      </c>
      <c r="E19" s="231" t="s">
        <v>463</v>
      </c>
      <c r="F19" s="231" t="s">
        <v>464</v>
      </c>
      <c r="H19"/>
      <c r="I19"/>
      <c r="J19"/>
      <c r="K19"/>
      <c r="L19"/>
      <c r="M19"/>
      <c r="N19"/>
    </row>
    <row r="20" spans="1:14" ht="15">
      <c r="A20" s="26"/>
      <c r="B20" s="26"/>
      <c r="C20" s="117" t="s">
        <v>37</v>
      </c>
      <c r="D20" s="231" t="s">
        <v>465</v>
      </c>
      <c r="E20" s="231" t="s">
        <v>466</v>
      </c>
      <c r="F20" s="231" t="s">
        <v>467</v>
      </c>
      <c r="H20"/>
      <c r="I20"/>
      <c r="J20"/>
      <c r="K20"/>
      <c r="L20"/>
      <c r="M20"/>
      <c r="N20"/>
    </row>
    <row r="21" spans="1:14" ht="15">
      <c r="D21" s="232"/>
      <c r="H21"/>
      <c r="I21"/>
      <c r="J21"/>
      <c r="K21"/>
      <c r="L21"/>
      <c r="M21"/>
      <c r="N21"/>
    </row>
  </sheetData>
  <phoneticPr fontId="4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2E46-7DCC-462B-9EAB-CEC6AC75A299}">
  <sheetPr>
    <tabColor rgb="FF00B050"/>
  </sheetPr>
  <dimension ref="A1:S21"/>
  <sheetViews>
    <sheetView workbookViewId="0">
      <selection activeCell="R4" sqref="R4"/>
    </sheetView>
  </sheetViews>
  <sheetFormatPr baseColWidth="10" defaultColWidth="10.83203125" defaultRowHeight="13"/>
  <cols>
    <col min="1" max="1" width="2.5" style="24" bestFit="1" customWidth="1"/>
    <col min="2" max="2" width="30.83203125" style="24" bestFit="1" customWidth="1"/>
    <col min="3" max="3" width="35" style="24" bestFit="1" customWidth="1"/>
    <col min="4" max="4" width="19.5" style="24" bestFit="1" customWidth="1"/>
    <col min="5" max="5" width="1.83203125" style="24" bestFit="1" customWidth="1"/>
    <col min="6" max="16" width="6.83203125" style="24" bestFit="1" customWidth="1"/>
    <col min="17" max="17" width="2.1640625" style="24" bestFit="1" customWidth="1"/>
    <col min="18" max="19" width="6.83203125" style="24" bestFit="1" customWidth="1"/>
    <col min="20" max="16384" width="10.83203125" style="24"/>
  </cols>
  <sheetData>
    <row r="1" spans="1:19" ht="14">
      <c r="A1" s="124" t="s">
        <v>360</v>
      </c>
    </row>
    <row r="2" spans="1:19" ht="14">
      <c r="A2" s="124"/>
    </row>
    <row r="3" spans="1:19">
      <c r="A3" s="26"/>
      <c r="B3" s="27" t="s">
        <v>98</v>
      </c>
      <c r="C3" s="27" t="s">
        <v>309</v>
      </c>
      <c r="D3" s="27" t="s">
        <v>294</v>
      </c>
      <c r="E3" s="116">
        <v>1</v>
      </c>
      <c r="F3" s="116">
        <v>2</v>
      </c>
      <c r="G3" s="116">
        <v>3</v>
      </c>
      <c r="H3" s="116">
        <v>4</v>
      </c>
      <c r="I3" s="116">
        <v>5</v>
      </c>
      <c r="J3" s="116">
        <v>6</v>
      </c>
      <c r="K3" s="116">
        <v>7</v>
      </c>
      <c r="L3" s="116">
        <v>8</v>
      </c>
      <c r="M3" s="116">
        <v>9</v>
      </c>
      <c r="N3" s="116">
        <v>10</v>
      </c>
      <c r="O3" s="116">
        <v>11</v>
      </c>
      <c r="P3" s="116">
        <v>12</v>
      </c>
      <c r="Q3" s="116" t="s">
        <v>68</v>
      </c>
      <c r="R3" s="116" t="s">
        <v>69</v>
      </c>
      <c r="S3" s="116" t="s">
        <v>70</v>
      </c>
    </row>
    <row r="4" spans="1:19" s="25" customFormat="1">
      <c r="A4" s="27" t="str">
        <f>'5.Inv'!A4</f>
        <v>1.</v>
      </c>
      <c r="B4" s="27" t="str">
        <f>'5.Inv'!B4</f>
        <v>Immobilisations corporelles  bâtiment</v>
      </c>
      <c r="C4" s="27" t="str">
        <f>'5.Inv'!C4</f>
        <v>Aménagement et batiments</v>
      </c>
      <c r="D4" s="26" t="str">
        <f>'5.Inv'!D4</f>
        <v>{var_14}</v>
      </c>
      <c r="E4" s="118">
        <v>1</v>
      </c>
      <c r="F4" s="118"/>
      <c r="G4" s="118"/>
      <c r="H4" s="118"/>
      <c r="I4" s="118"/>
      <c r="J4" s="118"/>
      <c r="K4" s="118"/>
      <c r="L4" s="118"/>
      <c r="M4" s="118"/>
      <c r="N4" s="118"/>
      <c r="O4" s="118"/>
      <c r="P4" s="118"/>
      <c r="Q4" s="118">
        <f>SUM(E4:P4)</f>
        <v>1</v>
      </c>
      <c r="R4" s="118"/>
      <c r="S4" s="118"/>
    </row>
    <row r="5" spans="1:19">
      <c r="A5" s="26">
        <f>'5.Inv'!A5</f>
        <v>0</v>
      </c>
      <c r="B5" s="26">
        <f>'5.Inv'!B5</f>
        <v>0</v>
      </c>
      <c r="C5" s="26" t="str">
        <f>'5.Inv'!C5</f>
        <v>Aménagement entrepôt</v>
      </c>
      <c r="D5" s="26" t="str">
        <f>'5.Inv'!D5</f>
        <v>{var_15}</v>
      </c>
      <c r="E5" s="118">
        <v>1</v>
      </c>
      <c r="F5" s="118"/>
      <c r="G5" s="118"/>
      <c r="H5" s="118"/>
      <c r="I5" s="118"/>
      <c r="J5" s="118"/>
      <c r="K5" s="118"/>
      <c r="L5" s="118"/>
      <c r="M5" s="118"/>
      <c r="N5" s="118"/>
      <c r="O5" s="118"/>
      <c r="P5" s="118"/>
      <c r="Q5" s="118">
        <f t="shared" ref="Q5:Q20" si="0">SUM(E5:P5)</f>
        <v>1</v>
      </c>
      <c r="R5" s="118"/>
      <c r="S5" s="118"/>
    </row>
    <row r="6" spans="1:19">
      <c r="A6" s="27" t="str">
        <f>'5.Inv'!A6</f>
        <v>2.</v>
      </c>
      <c r="B6" s="27" t="str">
        <f>'5.Inv'!B6</f>
        <v>Immobilisation corporelle véhicules</v>
      </c>
      <c r="C6" s="27" t="str">
        <f>'5.Inv'!C6</f>
        <v>Véhicules de liaison</v>
      </c>
      <c r="D6" s="26" t="str">
        <f>'5.Inv'!D6</f>
        <v>{var_16}</v>
      </c>
      <c r="E6" s="118">
        <v>1</v>
      </c>
      <c r="F6" s="118"/>
      <c r="G6" s="118"/>
      <c r="H6" s="118"/>
      <c r="I6" s="118"/>
      <c r="J6" s="118"/>
      <c r="K6" s="118"/>
      <c r="L6" s="118"/>
      <c r="M6" s="118"/>
      <c r="N6" s="118"/>
      <c r="O6" s="118"/>
      <c r="P6" s="118"/>
      <c r="Q6" s="118">
        <f t="shared" si="0"/>
        <v>1</v>
      </c>
      <c r="R6" s="118"/>
      <c r="S6" s="118"/>
    </row>
    <row r="7" spans="1:19">
      <c r="A7" s="26">
        <f>'5.Inv'!A7</f>
        <v>0</v>
      </c>
      <c r="B7" s="26">
        <f>'5.Inv'!B7</f>
        <v>0</v>
      </c>
      <c r="C7" s="26" t="str">
        <f>'5.Inv'!C7</f>
        <v>Véhicules de bureau</v>
      </c>
      <c r="D7" s="26" t="str">
        <f>'5.Inv'!D7</f>
        <v>{var_17}</v>
      </c>
      <c r="E7" s="118">
        <v>1</v>
      </c>
      <c r="F7" s="118"/>
      <c r="G7" s="118"/>
      <c r="H7" s="118"/>
      <c r="I7" s="118"/>
      <c r="J7" s="118"/>
      <c r="K7" s="118"/>
      <c r="L7" s="118"/>
      <c r="M7" s="118"/>
      <c r="N7" s="118"/>
      <c r="O7" s="118"/>
      <c r="P7" s="118"/>
      <c r="Q7" s="118">
        <f t="shared" si="0"/>
        <v>1</v>
      </c>
      <c r="R7" s="118"/>
      <c r="S7" s="118"/>
    </row>
    <row r="8" spans="1:19">
      <c r="A8" s="26">
        <f>'5.Inv'!A8</f>
        <v>0</v>
      </c>
      <c r="B8" s="26">
        <f>'5.Inv'!B8</f>
        <v>0</v>
      </c>
      <c r="C8" s="26" t="str">
        <f>'5.Inv'!C8</f>
        <v>Véhicule administratif</v>
      </c>
      <c r="D8" s="26" t="str">
        <f>'5.Inv'!D8</f>
        <v>{var_18}</v>
      </c>
      <c r="E8" s="118">
        <v>1</v>
      </c>
      <c r="F8" s="118"/>
      <c r="G8" s="118"/>
      <c r="H8" s="118"/>
      <c r="I8" s="118"/>
      <c r="J8" s="118"/>
      <c r="K8" s="118"/>
      <c r="L8" s="118"/>
      <c r="M8" s="118"/>
      <c r="N8" s="118"/>
      <c r="O8" s="118"/>
      <c r="P8" s="118"/>
      <c r="Q8" s="118">
        <f t="shared" si="0"/>
        <v>1</v>
      </c>
      <c r="R8" s="118"/>
      <c r="S8" s="118"/>
    </row>
    <row r="9" spans="1:19">
      <c r="A9" s="27" t="str">
        <f>'5.Inv'!A9</f>
        <v>3.</v>
      </c>
      <c r="B9" s="27" t="str">
        <f>'5.Inv'!B9</f>
        <v>Autres immobilisations corporelles matériel de travail</v>
      </c>
      <c r="C9" s="27" t="str">
        <f>'5.Inv'!C9</f>
        <v>Bureau (Fauteuil + table)</v>
      </c>
      <c r="D9" s="26" t="str">
        <f>'5.Inv'!D9</f>
        <v>{var_19}</v>
      </c>
      <c r="E9" s="118">
        <v>1</v>
      </c>
      <c r="F9" s="118"/>
      <c r="G9" s="118"/>
      <c r="H9" s="118"/>
      <c r="I9" s="118"/>
      <c r="J9" s="118"/>
      <c r="K9" s="118"/>
      <c r="L9" s="118"/>
      <c r="M9" s="118"/>
      <c r="N9" s="118"/>
      <c r="O9" s="118"/>
      <c r="P9" s="118"/>
      <c r="Q9" s="118">
        <f t="shared" si="0"/>
        <v>1</v>
      </c>
      <c r="R9" s="118"/>
      <c r="S9" s="118"/>
    </row>
    <row r="10" spans="1:19" s="25" customFormat="1">
      <c r="A10" s="27">
        <f>'5.Inv'!A10</f>
        <v>0</v>
      </c>
      <c r="B10" s="27">
        <f>'5.Inv'!B10</f>
        <v>0</v>
      </c>
      <c r="C10" s="27" t="str">
        <f>'5.Inv'!C10</f>
        <v>Mobilier et matériel de bureau</v>
      </c>
      <c r="D10" s="26" t="str">
        <f>'5.Inv'!D10</f>
        <v>{var_20}</v>
      </c>
      <c r="E10" s="118">
        <v>1</v>
      </c>
      <c r="F10" s="118"/>
      <c r="G10" s="118"/>
      <c r="H10" s="118"/>
      <c r="I10" s="118"/>
      <c r="J10" s="118"/>
      <c r="K10" s="118"/>
      <c r="L10" s="118"/>
      <c r="M10" s="118"/>
      <c r="N10" s="118"/>
      <c r="O10" s="118"/>
      <c r="P10" s="118"/>
      <c r="Q10" s="118">
        <f t="shared" si="0"/>
        <v>1</v>
      </c>
      <c r="R10" s="118"/>
      <c r="S10" s="118"/>
    </row>
    <row r="11" spans="1:19">
      <c r="A11" s="26">
        <f>'5.Inv'!A11</f>
        <v>0</v>
      </c>
      <c r="B11" s="26">
        <f>'5.Inv'!B11</f>
        <v>0</v>
      </c>
      <c r="C11" s="26" t="str">
        <f>'5.Inv'!C11</f>
        <v>Bureau (Fauteuil + table)</v>
      </c>
      <c r="D11" s="26" t="str">
        <f>'5.Inv'!D11</f>
        <v>{var_21}</v>
      </c>
      <c r="E11" s="118">
        <v>1</v>
      </c>
      <c r="F11" s="118"/>
      <c r="G11" s="118"/>
      <c r="H11" s="118"/>
      <c r="I11" s="118"/>
      <c r="J11" s="118"/>
      <c r="K11" s="118"/>
      <c r="L11" s="118"/>
      <c r="M11" s="118"/>
      <c r="N11" s="118"/>
      <c r="O11" s="118"/>
      <c r="P11" s="118"/>
      <c r="Q11" s="118">
        <f t="shared" si="0"/>
        <v>1</v>
      </c>
      <c r="R11" s="118"/>
      <c r="S11" s="118"/>
    </row>
    <row r="12" spans="1:19">
      <c r="A12" s="26">
        <f>'5.Inv'!A12</f>
        <v>0</v>
      </c>
      <c r="B12" s="26">
        <f>'5.Inv'!B12</f>
        <v>0</v>
      </c>
      <c r="C12" s="26" t="str">
        <f>'5.Inv'!C12</f>
        <v>Ordinateur PRO</v>
      </c>
      <c r="D12" s="26" t="str">
        <f>'5.Inv'!D12</f>
        <v>{var_22}</v>
      </c>
      <c r="E12" s="118">
        <v>1</v>
      </c>
      <c r="F12" s="118"/>
      <c r="G12" s="118"/>
      <c r="H12" s="118"/>
      <c r="I12" s="118"/>
      <c r="J12" s="118"/>
      <c r="K12" s="118"/>
      <c r="L12" s="118"/>
      <c r="M12" s="118"/>
      <c r="N12" s="118"/>
      <c r="O12" s="118"/>
      <c r="P12" s="118"/>
      <c r="Q12" s="118">
        <f t="shared" si="0"/>
        <v>1</v>
      </c>
      <c r="R12" s="118"/>
      <c r="S12" s="118"/>
    </row>
    <row r="13" spans="1:19">
      <c r="A13" s="26">
        <f>'5.Inv'!A13</f>
        <v>0</v>
      </c>
      <c r="B13" s="26">
        <f>'5.Inv'!B13</f>
        <v>0</v>
      </c>
      <c r="C13" s="26" t="str">
        <f>'5.Inv'!C13</f>
        <v>Serveur</v>
      </c>
      <c r="D13" s="26" t="str">
        <f>'5.Inv'!D13</f>
        <v>{var_23}</v>
      </c>
      <c r="E13" s="118">
        <v>1</v>
      </c>
      <c r="F13" s="118"/>
      <c r="G13" s="118"/>
      <c r="H13" s="118"/>
      <c r="I13" s="118"/>
      <c r="J13" s="118"/>
      <c r="K13" s="118"/>
      <c r="L13" s="118"/>
      <c r="M13" s="118"/>
      <c r="N13" s="118"/>
      <c r="O13" s="118"/>
      <c r="P13" s="118"/>
      <c r="Q13" s="118">
        <f t="shared" si="0"/>
        <v>1</v>
      </c>
      <c r="R13" s="118"/>
      <c r="S13" s="118"/>
    </row>
    <row r="14" spans="1:19">
      <c r="A14" s="26">
        <f>'5.Inv'!A14</f>
        <v>0</v>
      </c>
      <c r="B14" s="26">
        <f>'5.Inv'!B14</f>
        <v>0</v>
      </c>
      <c r="C14" s="26" t="str">
        <f>'5.Inv'!C14</f>
        <v>CANON EOS 80 D + objectif 18-135mm IS USM</v>
      </c>
      <c r="D14" s="26" t="str">
        <f>'5.Inv'!D14</f>
        <v>{var_24}</v>
      </c>
      <c r="E14" s="118">
        <v>1</v>
      </c>
      <c r="F14" s="118"/>
      <c r="G14" s="118"/>
      <c r="H14" s="118"/>
      <c r="I14" s="118"/>
      <c r="J14" s="118"/>
      <c r="K14" s="118"/>
      <c r="L14" s="118"/>
      <c r="M14" s="118"/>
      <c r="N14" s="118"/>
      <c r="O14" s="118"/>
      <c r="P14" s="118"/>
      <c r="Q14" s="118">
        <f t="shared" si="0"/>
        <v>1</v>
      </c>
      <c r="R14" s="118"/>
      <c r="S14" s="118"/>
    </row>
    <row r="15" spans="1:19">
      <c r="A15" s="26"/>
      <c r="B15" s="26"/>
      <c r="C15" s="26" t="str">
        <f>'5.Inv'!C15</f>
        <v>Boîtier Canon EOS 5D Mark IV</v>
      </c>
      <c r="D15" s="26" t="str">
        <f>'5.Inv'!D15</f>
        <v>{var_25}</v>
      </c>
      <c r="E15" s="118">
        <v>1</v>
      </c>
      <c r="F15" s="118"/>
      <c r="G15" s="118"/>
      <c r="H15" s="118"/>
      <c r="I15" s="118"/>
      <c r="J15" s="118"/>
      <c r="K15" s="118"/>
      <c r="L15" s="118"/>
      <c r="M15" s="118"/>
      <c r="N15" s="118"/>
      <c r="O15" s="118"/>
      <c r="P15" s="118"/>
      <c r="Q15" s="118"/>
      <c r="R15" s="118"/>
      <c r="S15" s="118"/>
    </row>
    <row r="16" spans="1:19">
      <c r="A16" s="26">
        <f>'5.Inv'!A16</f>
        <v>0</v>
      </c>
      <c r="B16" s="26">
        <f>'5.Inv'!B16</f>
        <v>0</v>
      </c>
      <c r="C16" s="26" t="str">
        <f>'5.Inv'!C16</f>
        <v>Photocopieuse + Imprimante</v>
      </c>
      <c r="D16" s="26" t="str">
        <f>'5.Inv'!D16</f>
        <v>{var_26}</v>
      </c>
      <c r="E16" s="118">
        <v>1</v>
      </c>
      <c r="F16" s="118"/>
      <c r="G16" s="118"/>
      <c r="H16" s="118"/>
      <c r="I16" s="118"/>
      <c r="J16" s="118"/>
      <c r="K16" s="118"/>
      <c r="L16" s="118"/>
      <c r="M16" s="118"/>
      <c r="N16" s="118"/>
      <c r="O16" s="118"/>
      <c r="P16" s="118"/>
      <c r="Q16" s="118">
        <f t="shared" si="0"/>
        <v>1</v>
      </c>
      <c r="R16" s="118"/>
      <c r="S16" s="118"/>
    </row>
    <row r="17" spans="1:19">
      <c r="A17" s="27" t="str">
        <f>'5.Inv'!A17</f>
        <v>4.</v>
      </c>
      <c r="B17" s="27" t="str">
        <f>'5.Inv'!B17</f>
        <v>Immobilisation incorporelles</v>
      </c>
      <c r="C17" s="27" t="str">
        <f>'5.Inv'!C17</f>
        <v>Caution et avance loyer</v>
      </c>
      <c r="D17" s="26" t="str">
        <f>'5.Inv'!D17</f>
        <v>{var_27}</v>
      </c>
      <c r="E17" s="118">
        <v>1</v>
      </c>
      <c r="F17" s="118"/>
      <c r="G17" s="118"/>
      <c r="H17" s="118"/>
      <c r="I17" s="118"/>
      <c r="J17" s="118"/>
      <c r="K17" s="118"/>
      <c r="L17" s="118"/>
      <c r="M17" s="118"/>
      <c r="N17" s="118"/>
      <c r="O17" s="118"/>
      <c r="P17" s="118"/>
      <c r="Q17" s="118">
        <f t="shared" si="0"/>
        <v>1</v>
      </c>
      <c r="R17" s="118"/>
      <c r="S17" s="118"/>
    </row>
    <row r="18" spans="1:19">
      <c r="A18" s="26">
        <f>'5.Inv'!A18</f>
        <v>0</v>
      </c>
      <c r="B18" s="26">
        <f>'5.Inv'!B18</f>
        <v>0</v>
      </c>
      <c r="C18" s="26" t="str">
        <f>'5.Inv'!C18</f>
        <v>Branchement Téléphone et internet</v>
      </c>
      <c r="D18" s="26" t="str">
        <f>'5.Inv'!D18</f>
        <v>{var_28}</v>
      </c>
      <c r="E18" s="118">
        <v>1</v>
      </c>
      <c r="F18" s="118"/>
      <c r="G18" s="118"/>
      <c r="H18" s="118"/>
      <c r="I18" s="118"/>
      <c r="J18" s="118"/>
      <c r="K18" s="118"/>
      <c r="L18" s="118"/>
      <c r="M18" s="118"/>
      <c r="N18" s="118"/>
      <c r="O18" s="118"/>
      <c r="P18" s="118"/>
      <c r="Q18" s="118">
        <f t="shared" si="0"/>
        <v>1</v>
      </c>
      <c r="R18" s="118"/>
      <c r="S18" s="118"/>
    </row>
    <row r="19" spans="1:19" s="25" customFormat="1">
      <c r="A19" s="26">
        <f>'5.Inv'!A19</f>
        <v>0</v>
      </c>
      <c r="B19" s="26">
        <f>'5.Inv'!B19</f>
        <v>0</v>
      </c>
      <c r="C19" s="26" t="str">
        <f>'5.Inv'!C19</f>
        <v>Branchement CIE et SODECI</v>
      </c>
      <c r="D19" s="26" t="str">
        <f>'5.Inv'!D19</f>
        <v>{var_29}</v>
      </c>
      <c r="E19" s="118"/>
      <c r="F19" s="118"/>
      <c r="G19" s="118"/>
      <c r="H19" s="118"/>
      <c r="I19" s="118"/>
      <c r="J19" s="118"/>
      <c r="K19" s="118"/>
      <c r="L19" s="118"/>
      <c r="M19" s="118"/>
      <c r="N19" s="118"/>
      <c r="O19" s="118"/>
      <c r="P19" s="118"/>
      <c r="Q19" s="118">
        <f t="shared" si="0"/>
        <v>0</v>
      </c>
      <c r="R19" s="118"/>
      <c r="S19" s="118"/>
    </row>
    <row r="20" spans="1:19">
      <c r="A20" s="26">
        <f>'5.Inv'!A20</f>
        <v>0</v>
      </c>
      <c r="B20" s="26">
        <f>'5.Inv'!B20</f>
        <v>0</v>
      </c>
      <c r="C20" s="26" t="str">
        <f>'5.Inv'!C20</f>
        <v>Bail foncier</v>
      </c>
      <c r="D20" s="26" t="str">
        <f>'5.Inv'!D20</f>
        <v>{var_30}</v>
      </c>
      <c r="E20" s="118"/>
      <c r="F20" s="118"/>
      <c r="G20" s="118"/>
      <c r="H20" s="118"/>
      <c r="I20" s="118"/>
      <c r="J20" s="118"/>
      <c r="K20" s="118"/>
      <c r="L20" s="118"/>
      <c r="M20" s="118"/>
      <c r="N20" s="118"/>
      <c r="O20" s="118"/>
      <c r="P20" s="118"/>
      <c r="Q20" s="118">
        <f t="shared" si="0"/>
        <v>0</v>
      </c>
      <c r="R20" s="118"/>
      <c r="S20" s="118"/>
    </row>
    <row r="21" spans="1:19">
      <c r="A21" s="27"/>
      <c r="B21" s="27" t="s">
        <v>96</v>
      </c>
      <c r="C21" s="26"/>
      <c r="D21" s="86"/>
      <c r="E21" s="31">
        <f>AVERAGE(E4:E20)</f>
        <v>1</v>
      </c>
      <c r="F21" s="31" t="e">
        <f t="shared" ref="F21:S21" si="1">AVERAGE(F4:F20)</f>
        <v>#DIV/0!</v>
      </c>
      <c r="G21" s="31" t="e">
        <f t="shared" si="1"/>
        <v>#DIV/0!</v>
      </c>
      <c r="H21" s="31" t="e">
        <f t="shared" si="1"/>
        <v>#DIV/0!</v>
      </c>
      <c r="I21" s="31" t="e">
        <f t="shared" si="1"/>
        <v>#DIV/0!</v>
      </c>
      <c r="J21" s="31" t="e">
        <f t="shared" si="1"/>
        <v>#DIV/0!</v>
      </c>
      <c r="K21" s="31" t="e">
        <f t="shared" si="1"/>
        <v>#DIV/0!</v>
      </c>
      <c r="L21" s="31" t="e">
        <f t="shared" si="1"/>
        <v>#DIV/0!</v>
      </c>
      <c r="M21" s="31" t="e">
        <f t="shared" si="1"/>
        <v>#DIV/0!</v>
      </c>
      <c r="N21" s="31" t="e">
        <f t="shared" si="1"/>
        <v>#DIV/0!</v>
      </c>
      <c r="O21" s="31" t="e">
        <f t="shared" si="1"/>
        <v>#DIV/0!</v>
      </c>
      <c r="P21" s="31" t="e">
        <f t="shared" si="1"/>
        <v>#DIV/0!</v>
      </c>
      <c r="Q21" s="31">
        <f t="shared" si="1"/>
        <v>0.875</v>
      </c>
      <c r="R21" s="31" t="e">
        <f t="shared" si="1"/>
        <v>#DIV/0!</v>
      </c>
      <c r="S21" s="31" t="e">
        <f t="shared" si="1"/>
        <v>#DIV/0!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3AF9-34A0-4CE5-9DCB-B8B7178AE243}">
  <sheetPr>
    <tabColor rgb="FF00B050"/>
  </sheetPr>
  <dimension ref="A1:S22"/>
  <sheetViews>
    <sheetView workbookViewId="0">
      <selection activeCell="C10" sqref="C10:S17"/>
    </sheetView>
  </sheetViews>
  <sheetFormatPr baseColWidth="10" defaultColWidth="10.83203125" defaultRowHeight="13" outlineLevelCol="1"/>
  <cols>
    <col min="1" max="1" width="2.5" style="24" bestFit="1" customWidth="1"/>
    <col min="2" max="2" width="30.83203125" style="24" bestFit="1" customWidth="1"/>
    <col min="3" max="3" width="35" style="24" bestFit="1" customWidth="1"/>
    <col min="4" max="4" width="19.5" style="24" bestFit="1" customWidth="1"/>
    <col min="5" max="5" width="9.83203125" style="24" hidden="1" customWidth="1" outlineLevel="1"/>
    <col min="6" max="16" width="6.83203125" style="24" hidden="1" customWidth="1" outlineLevel="1"/>
    <col min="17" max="17" width="9.83203125" style="24" bestFit="1" customWidth="1" collapsed="1"/>
    <col min="18" max="19" width="6.83203125" style="24" bestFit="1" customWidth="1"/>
    <col min="20" max="16384" width="10.83203125" style="24"/>
  </cols>
  <sheetData>
    <row r="1" spans="1:19" ht="14">
      <c r="A1" s="124" t="s">
        <v>361</v>
      </c>
    </row>
    <row r="2" spans="1:19" ht="14">
      <c r="A2" s="124"/>
    </row>
    <row r="3" spans="1:19">
      <c r="A3" s="26"/>
      <c r="B3" s="27" t="s">
        <v>98</v>
      </c>
      <c r="C3" s="27" t="s">
        <v>99</v>
      </c>
      <c r="D3" s="27" t="s">
        <v>294</v>
      </c>
      <c r="E3" s="27">
        <v>1</v>
      </c>
      <c r="F3" s="27">
        <v>2</v>
      </c>
      <c r="G3" s="27">
        <v>3</v>
      </c>
      <c r="H3" s="27">
        <v>4</v>
      </c>
      <c r="I3" s="27">
        <v>5</v>
      </c>
      <c r="J3" s="27">
        <v>6</v>
      </c>
      <c r="K3" s="27">
        <v>7</v>
      </c>
      <c r="L3" s="27">
        <v>8</v>
      </c>
      <c r="M3" s="27">
        <v>9</v>
      </c>
      <c r="N3" s="27">
        <v>10</v>
      </c>
      <c r="O3" s="27">
        <v>11</v>
      </c>
      <c r="P3" s="27">
        <v>12</v>
      </c>
      <c r="Q3" s="27" t="s">
        <v>68</v>
      </c>
      <c r="R3" s="27" t="s">
        <v>69</v>
      </c>
      <c r="S3" s="27" t="s">
        <v>70</v>
      </c>
    </row>
    <row r="4" spans="1:19" s="25" customFormat="1">
      <c r="A4" s="27" t="str">
        <f>'5.Inv'!A4</f>
        <v>1.</v>
      </c>
      <c r="B4" s="27" t="str">
        <f>'5.Inv'!B4</f>
        <v>Immobilisations corporelles  bâtiment</v>
      </c>
      <c r="C4" s="26" t="str">
        <f>'5.Inv'!C4</f>
        <v>Aménagement et batiments</v>
      </c>
      <c r="D4" s="26" t="str">
        <f>'5.Inv'!D4</f>
        <v>{var_14}</v>
      </c>
      <c r="E4" s="31" t="e">
        <f>'5.Inv'!$E4*'5.Inv'!$F4*'6.Var.Inv'!E4</f>
        <v>#VALUE!</v>
      </c>
      <c r="F4" s="31" t="e">
        <f>'5.Inv'!$E4*'5.Inv'!$F4*'6.Var.Inv'!F4</f>
        <v>#VALUE!</v>
      </c>
      <c r="G4" s="31" t="e">
        <f>'5.Inv'!$E4*'5.Inv'!$F4*'6.Var.Inv'!G4</f>
        <v>#VALUE!</v>
      </c>
      <c r="H4" s="31" t="e">
        <f>'5.Inv'!$E4*'5.Inv'!$F4*'6.Var.Inv'!H4</f>
        <v>#VALUE!</v>
      </c>
      <c r="I4" s="31" t="e">
        <f>'5.Inv'!$E4*'5.Inv'!$F4*'6.Var.Inv'!I4</f>
        <v>#VALUE!</v>
      </c>
      <c r="J4" s="31" t="e">
        <f>'5.Inv'!$E4*'5.Inv'!$F4*'6.Var.Inv'!J4</f>
        <v>#VALUE!</v>
      </c>
      <c r="K4" s="31" t="e">
        <f>'5.Inv'!$E4*'5.Inv'!$F4*'6.Var.Inv'!K4</f>
        <v>#VALUE!</v>
      </c>
      <c r="L4" s="31" t="e">
        <f>'5.Inv'!$E4*'5.Inv'!$F4*'6.Var.Inv'!L4</f>
        <v>#VALUE!</v>
      </c>
      <c r="M4" s="31" t="e">
        <f>'5.Inv'!$E4*'5.Inv'!$F4*'6.Var.Inv'!M4</f>
        <v>#VALUE!</v>
      </c>
      <c r="N4" s="31" t="e">
        <f>'5.Inv'!$E4*'5.Inv'!$F4*'6.Var.Inv'!N4</f>
        <v>#VALUE!</v>
      </c>
      <c r="O4" s="31" t="e">
        <f>'5.Inv'!$E4*'5.Inv'!$F4*'6.Var.Inv'!O4</f>
        <v>#VALUE!</v>
      </c>
      <c r="P4" s="31" t="e">
        <f>'5.Inv'!$E4*'5.Inv'!$F4*'6.Var.Inv'!P4</f>
        <v>#VALUE!</v>
      </c>
      <c r="Q4" s="31" t="e">
        <f>SUM(E4:P4)</f>
        <v>#VALUE!</v>
      </c>
      <c r="R4" s="31" t="e">
        <f>'5.Inv'!$E4*'5.Inv'!$F4*'6.Var.Inv'!R4</f>
        <v>#VALUE!</v>
      </c>
      <c r="S4" s="31" t="e">
        <f>'5.Inv'!$E4*'5.Inv'!$F4*'6.Var.Inv'!S4</f>
        <v>#VALUE!</v>
      </c>
    </row>
    <row r="5" spans="1:19" s="25" customFormat="1">
      <c r="A5" s="27"/>
      <c r="B5" s="27"/>
      <c r="C5" s="26"/>
      <c r="D5" s="26"/>
      <c r="E5" s="31"/>
      <c r="F5" s="31"/>
      <c r="G5" s="31"/>
      <c r="H5" s="31"/>
      <c r="I5" s="31"/>
      <c r="J5" s="31"/>
      <c r="K5" s="31"/>
      <c r="L5" s="31"/>
      <c r="M5" s="31"/>
      <c r="N5" s="31"/>
      <c r="O5" s="31"/>
      <c r="P5" s="31"/>
      <c r="Q5" s="31"/>
      <c r="R5" s="31"/>
      <c r="S5" s="31"/>
    </row>
    <row r="6" spans="1:19">
      <c r="A6" s="27">
        <f>'5.Inv'!A5</f>
        <v>0</v>
      </c>
      <c r="B6" s="27">
        <f>'5.Inv'!B5</f>
        <v>0</v>
      </c>
      <c r="C6" s="26" t="str">
        <f>'5.Inv'!C5</f>
        <v>Aménagement entrepôt</v>
      </c>
      <c r="D6" s="26" t="str">
        <f>'5.Inv'!D5</f>
        <v>{var_15}</v>
      </c>
      <c r="E6" s="31" t="e">
        <f>'5.Inv'!$E5*'5.Inv'!$F5*'6.Var.Inv'!E5</f>
        <v>#VALUE!</v>
      </c>
      <c r="F6" s="31" t="e">
        <f>'5.Inv'!$E5*'5.Inv'!$F5*'6.Var.Inv'!F5</f>
        <v>#VALUE!</v>
      </c>
      <c r="G6" s="31" t="e">
        <f>'5.Inv'!$E5*'5.Inv'!$F5*'6.Var.Inv'!G5</f>
        <v>#VALUE!</v>
      </c>
      <c r="H6" s="31" t="e">
        <f>'5.Inv'!$E5*'5.Inv'!$F5*'6.Var.Inv'!H5</f>
        <v>#VALUE!</v>
      </c>
      <c r="I6" s="31" t="e">
        <f>'5.Inv'!$E5*'5.Inv'!$F5*'6.Var.Inv'!I5</f>
        <v>#VALUE!</v>
      </c>
      <c r="J6" s="31" t="e">
        <f>'5.Inv'!$E5*'5.Inv'!$F5*'6.Var.Inv'!J5</f>
        <v>#VALUE!</v>
      </c>
      <c r="K6" s="31" t="e">
        <f>'5.Inv'!$E5*'5.Inv'!$F5*'6.Var.Inv'!K5</f>
        <v>#VALUE!</v>
      </c>
      <c r="L6" s="31" t="e">
        <f>'5.Inv'!$E5*'5.Inv'!$F5*'6.Var.Inv'!L5</f>
        <v>#VALUE!</v>
      </c>
      <c r="M6" s="31" t="e">
        <f>'5.Inv'!$E5*'5.Inv'!$F5*'6.Var.Inv'!M5</f>
        <v>#VALUE!</v>
      </c>
      <c r="N6" s="31" t="e">
        <f>'5.Inv'!$E5*'5.Inv'!$F5*'6.Var.Inv'!N5</f>
        <v>#VALUE!</v>
      </c>
      <c r="O6" s="31" t="e">
        <f>'5.Inv'!$E5*'5.Inv'!$F5*'6.Var.Inv'!O5</f>
        <v>#VALUE!</v>
      </c>
      <c r="P6" s="31" t="e">
        <f>'5.Inv'!$E5*'5.Inv'!$F5*'6.Var.Inv'!P5</f>
        <v>#VALUE!</v>
      </c>
      <c r="Q6" s="31" t="e">
        <f t="shared" ref="Q6:Q21" si="0">SUM(E6:P6)</f>
        <v>#VALUE!</v>
      </c>
      <c r="R6" s="31" t="e">
        <f>'5.Inv'!$E5*'5.Inv'!$F5*'6.Var.Inv'!R5</f>
        <v>#VALUE!</v>
      </c>
      <c r="S6" s="31" t="e">
        <f>'5.Inv'!$E5*'5.Inv'!$F5*'6.Var.Inv'!S5</f>
        <v>#VALUE!</v>
      </c>
    </row>
    <row r="7" spans="1:19">
      <c r="A7" s="27" t="str">
        <f>'5.Inv'!A6</f>
        <v>2.</v>
      </c>
      <c r="B7" s="27" t="str">
        <f>'5.Inv'!B6</f>
        <v>Immobilisation corporelle véhicules</v>
      </c>
      <c r="C7" s="26" t="str">
        <f>'5.Inv'!C6</f>
        <v>Véhicules de liaison</v>
      </c>
      <c r="D7" s="26" t="str">
        <f>'5.Inv'!D6</f>
        <v>{var_16}</v>
      </c>
      <c r="E7" s="31" t="e">
        <f>'5.Inv'!$E6*'5.Inv'!$F6*'6.Var.Inv'!E6</f>
        <v>#VALUE!</v>
      </c>
      <c r="F7" s="31" t="e">
        <f>'5.Inv'!$E6*'5.Inv'!$F6*'6.Var.Inv'!F6</f>
        <v>#VALUE!</v>
      </c>
      <c r="G7" s="31" t="e">
        <f>'5.Inv'!$E6*'5.Inv'!$F6*'6.Var.Inv'!G6</f>
        <v>#VALUE!</v>
      </c>
      <c r="H7" s="31" t="e">
        <f>'5.Inv'!$E6*'5.Inv'!$F6*'6.Var.Inv'!H6</f>
        <v>#VALUE!</v>
      </c>
      <c r="I7" s="31" t="e">
        <f>'5.Inv'!$E6*'5.Inv'!$F6*'6.Var.Inv'!I6</f>
        <v>#VALUE!</v>
      </c>
      <c r="J7" s="31" t="e">
        <f>'5.Inv'!$E6*'5.Inv'!$F6*'6.Var.Inv'!J6</f>
        <v>#VALUE!</v>
      </c>
      <c r="K7" s="31" t="e">
        <f>'5.Inv'!$E6*'5.Inv'!$F6*'6.Var.Inv'!K6</f>
        <v>#VALUE!</v>
      </c>
      <c r="L7" s="31" t="e">
        <f>'5.Inv'!$E6*'5.Inv'!$F6*'6.Var.Inv'!L6</f>
        <v>#VALUE!</v>
      </c>
      <c r="M7" s="31" t="e">
        <f>'5.Inv'!$E6*'5.Inv'!$F6*'6.Var.Inv'!M6</f>
        <v>#VALUE!</v>
      </c>
      <c r="N7" s="31" t="e">
        <f>'5.Inv'!$E6*'5.Inv'!$F6*'6.Var.Inv'!N6</f>
        <v>#VALUE!</v>
      </c>
      <c r="O7" s="31" t="e">
        <f>'5.Inv'!$E6*'5.Inv'!$F6*'6.Var.Inv'!O6</f>
        <v>#VALUE!</v>
      </c>
      <c r="P7" s="31" t="e">
        <f>'5.Inv'!$E6*'5.Inv'!$F6*'6.Var.Inv'!P6</f>
        <v>#VALUE!</v>
      </c>
      <c r="Q7" s="31" t="e">
        <f t="shared" si="0"/>
        <v>#VALUE!</v>
      </c>
      <c r="R7" s="31" t="e">
        <f>'5.Inv'!$E6*'5.Inv'!$F6*'6.Var.Inv'!R6</f>
        <v>#VALUE!</v>
      </c>
      <c r="S7" s="31" t="e">
        <f>'5.Inv'!$E6*'5.Inv'!$F6*'6.Var.Inv'!S6</f>
        <v>#VALUE!</v>
      </c>
    </row>
    <row r="8" spans="1:19">
      <c r="A8" s="27">
        <f>'5.Inv'!A7</f>
        <v>0</v>
      </c>
      <c r="B8" s="27">
        <f>'5.Inv'!B7</f>
        <v>0</v>
      </c>
      <c r="C8" s="26" t="str">
        <f>'5.Inv'!C7</f>
        <v>Véhicules de bureau</v>
      </c>
      <c r="D8" s="26" t="str">
        <f>'5.Inv'!D7</f>
        <v>{var_17}</v>
      </c>
      <c r="E8" s="31" t="e">
        <f>'5.Inv'!$E7*'5.Inv'!$F7*'6.Var.Inv'!E7</f>
        <v>#VALUE!</v>
      </c>
      <c r="F8" s="31" t="e">
        <f>'5.Inv'!$E7*'5.Inv'!$F7*'6.Var.Inv'!F7</f>
        <v>#VALUE!</v>
      </c>
      <c r="G8" s="31" t="e">
        <f>'5.Inv'!$E7*'5.Inv'!$F7*'6.Var.Inv'!G7</f>
        <v>#VALUE!</v>
      </c>
      <c r="H8" s="31" t="e">
        <f>'5.Inv'!$E7*'5.Inv'!$F7*'6.Var.Inv'!H7</f>
        <v>#VALUE!</v>
      </c>
      <c r="I8" s="31" t="e">
        <f>'5.Inv'!$E7*'5.Inv'!$F7*'6.Var.Inv'!I7</f>
        <v>#VALUE!</v>
      </c>
      <c r="J8" s="31" t="e">
        <f>'5.Inv'!$E7*'5.Inv'!$F7*'6.Var.Inv'!J7</f>
        <v>#VALUE!</v>
      </c>
      <c r="K8" s="31" t="e">
        <f>'5.Inv'!$E7*'5.Inv'!$F7*'6.Var.Inv'!K7</f>
        <v>#VALUE!</v>
      </c>
      <c r="L8" s="31" t="e">
        <f>'5.Inv'!$E7*'5.Inv'!$F7*'6.Var.Inv'!L7</f>
        <v>#VALUE!</v>
      </c>
      <c r="M8" s="31" t="e">
        <f>'5.Inv'!$E7*'5.Inv'!$F7*'6.Var.Inv'!M7</f>
        <v>#VALUE!</v>
      </c>
      <c r="N8" s="31" t="e">
        <f>'5.Inv'!$E7*'5.Inv'!$F7*'6.Var.Inv'!N7</f>
        <v>#VALUE!</v>
      </c>
      <c r="O8" s="31" t="e">
        <f>'5.Inv'!$E7*'5.Inv'!$F7*'6.Var.Inv'!O7</f>
        <v>#VALUE!</v>
      </c>
      <c r="P8" s="31" t="e">
        <f>'5.Inv'!$E7*'5.Inv'!$F7*'6.Var.Inv'!P7</f>
        <v>#VALUE!</v>
      </c>
      <c r="Q8" s="31" t="e">
        <f t="shared" si="0"/>
        <v>#VALUE!</v>
      </c>
      <c r="R8" s="31" t="e">
        <f>'5.Inv'!$E7*'5.Inv'!$F7*'6.Var.Inv'!R7</f>
        <v>#VALUE!</v>
      </c>
      <c r="S8" s="31" t="e">
        <f>'5.Inv'!$E7*'5.Inv'!$F7*'6.Var.Inv'!S7</f>
        <v>#VALUE!</v>
      </c>
    </row>
    <row r="9" spans="1:19">
      <c r="A9" s="27">
        <f>'5.Inv'!A8</f>
        <v>0</v>
      </c>
      <c r="B9" s="27">
        <f>'5.Inv'!B8</f>
        <v>0</v>
      </c>
      <c r="C9" s="26" t="str">
        <f>'5.Inv'!C8</f>
        <v>Véhicule administratif</v>
      </c>
      <c r="D9" s="26" t="str">
        <f>'5.Inv'!D8</f>
        <v>{var_18}</v>
      </c>
      <c r="E9" s="31" t="e">
        <f>'5.Inv'!$E8*'5.Inv'!$F8*'6.Var.Inv'!E8</f>
        <v>#VALUE!</v>
      </c>
      <c r="F9" s="31" t="e">
        <f>'5.Inv'!$E8*'5.Inv'!$F8*'6.Var.Inv'!F8</f>
        <v>#VALUE!</v>
      </c>
      <c r="G9" s="31" t="e">
        <f>'5.Inv'!$E8*'5.Inv'!$F8*'6.Var.Inv'!G8</f>
        <v>#VALUE!</v>
      </c>
      <c r="H9" s="31" t="e">
        <f>'5.Inv'!$E8*'5.Inv'!$F8*'6.Var.Inv'!H8</f>
        <v>#VALUE!</v>
      </c>
      <c r="I9" s="31" t="e">
        <f>'5.Inv'!$E8*'5.Inv'!$F8*'6.Var.Inv'!I8</f>
        <v>#VALUE!</v>
      </c>
      <c r="J9" s="31" t="e">
        <f>'5.Inv'!$E8*'5.Inv'!$F8*'6.Var.Inv'!J8</f>
        <v>#VALUE!</v>
      </c>
      <c r="K9" s="31" t="e">
        <f>'5.Inv'!$E8*'5.Inv'!$F8*'6.Var.Inv'!K8</f>
        <v>#VALUE!</v>
      </c>
      <c r="L9" s="31" t="e">
        <f>'5.Inv'!$E8*'5.Inv'!$F8*'6.Var.Inv'!L8</f>
        <v>#VALUE!</v>
      </c>
      <c r="M9" s="31" t="e">
        <f>'5.Inv'!$E8*'5.Inv'!$F8*'6.Var.Inv'!M8</f>
        <v>#VALUE!</v>
      </c>
      <c r="N9" s="31" t="e">
        <f>'5.Inv'!$E8*'5.Inv'!$F8*'6.Var.Inv'!N8</f>
        <v>#VALUE!</v>
      </c>
      <c r="O9" s="31" t="e">
        <f>'5.Inv'!$E8*'5.Inv'!$F8*'6.Var.Inv'!O8</f>
        <v>#VALUE!</v>
      </c>
      <c r="P9" s="31" t="e">
        <f>'5.Inv'!$E8*'5.Inv'!$F8*'6.Var.Inv'!P8</f>
        <v>#VALUE!</v>
      </c>
      <c r="Q9" s="31" t="e">
        <f t="shared" si="0"/>
        <v>#VALUE!</v>
      </c>
      <c r="R9" s="31" t="e">
        <f>'5.Inv'!$E8*'5.Inv'!$F8*'6.Var.Inv'!R8</f>
        <v>#VALUE!</v>
      </c>
      <c r="S9" s="31" t="e">
        <f>'5.Inv'!$E8*'5.Inv'!$F8*'6.Var.Inv'!S8</f>
        <v>#VALUE!</v>
      </c>
    </row>
    <row r="10" spans="1:19">
      <c r="A10" s="27" t="str">
        <f>'5.Inv'!A9</f>
        <v>3.</v>
      </c>
      <c r="B10" s="27" t="str">
        <f>'5.Inv'!B9</f>
        <v>Autres immobilisations corporelles matériel de travail</v>
      </c>
      <c r="C10" s="26" t="str">
        <f>'5.Inv'!C9</f>
        <v>Bureau (Fauteuil + table)</v>
      </c>
      <c r="D10" s="26" t="str">
        <f>'5.Inv'!D9</f>
        <v>{var_19}</v>
      </c>
      <c r="E10" s="31" t="e">
        <f>'5.Inv'!$E9*'5.Inv'!$F9*'6.Var.Inv'!E9</f>
        <v>#VALUE!</v>
      </c>
      <c r="F10" s="31" t="e">
        <f>'5.Inv'!$E9*'5.Inv'!$F9*'6.Var.Inv'!F9</f>
        <v>#VALUE!</v>
      </c>
      <c r="G10" s="31" t="e">
        <f>'5.Inv'!$E9*'5.Inv'!$F9*'6.Var.Inv'!G9</f>
        <v>#VALUE!</v>
      </c>
      <c r="H10" s="31" t="e">
        <f>'5.Inv'!$E9*'5.Inv'!$F9*'6.Var.Inv'!H9</f>
        <v>#VALUE!</v>
      </c>
      <c r="I10" s="31" t="e">
        <f>'5.Inv'!$E9*'5.Inv'!$F9*'6.Var.Inv'!I9</f>
        <v>#VALUE!</v>
      </c>
      <c r="J10" s="31" t="e">
        <f>'5.Inv'!$E9*'5.Inv'!$F9*'6.Var.Inv'!J9</f>
        <v>#VALUE!</v>
      </c>
      <c r="K10" s="31" t="e">
        <f>'5.Inv'!$E9*'5.Inv'!$F9*'6.Var.Inv'!K9</f>
        <v>#VALUE!</v>
      </c>
      <c r="L10" s="31" t="e">
        <f>'5.Inv'!$E9*'5.Inv'!$F9*'6.Var.Inv'!L9</f>
        <v>#VALUE!</v>
      </c>
      <c r="M10" s="31" t="e">
        <f>'5.Inv'!$E9*'5.Inv'!$F9*'6.Var.Inv'!M9</f>
        <v>#VALUE!</v>
      </c>
      <c r="N10" s="31" t="e">
        <f>'5.Inv'!$E9*'5.Inv'!$F9*'6.Var.Inv'!N9</f>
        <v>#VALUE!</v>
      </c>
      <c r="O10" s="31" t="e">
        <f>'5.Inv'!$E9*'5.Inv'!$F9*'6.Var.Inv'!O9</f>
        <v>#VALUE!</v>
      </c>
      <c r="P10" s="31" t="e">
        <f>'5.Inv'!$E9*'5.Inv'!$F9*'6.Var.Inv'!P9</f>
        <v>#VALUE!</v>
      </c>
      <c r="Q10" s="31" t="e">
        <f t="shared" si="0"/>
        <v>#VALUE!</v>
      </c>
      <c r="R10" s="31" t="e">
        <f>'5.Inv'!$E9*'5.Inv'!$F9*'6.Var.Inv'!R9</f>
        <v>#VALUE!</v>
      </c>
      <c r="S10" s="31" t="e">
        <f>'5.Inv'!$E9*'5.Inv'!$F9*'6.Var.Inv'!S9</f>
        <v>#VALUE!</v>
      </c>
    </row>
    <row r="11" spans="1:19" s="25" customFormat="1">
      <c r="A11" s="27">
        <f>'5.Inv'!A10</f>
        <v>0</v>
      </c>
      <c r="B11" s="27">
        <f>'5.Inv'!B10</f>
        <v>0</v>
      </c>
      <c r="C11" s="26" t="str">
        <f>'5.Inv'!C10</f>
        <v>Mobilier et matériel de bureau</v>
      </c>
      <c r="D11" s="26" t="str">
        <f>'5.Inv'!D10</f>
        <v>{var_20}</v>
      </c>
      <c r="E11" s="31" t="e">
        <f>'5.Inv'!$E10*'5.Inv'!$F10*'6.Var.Inv'!E10</f>
        <v>#VALUE!</v>
      </c>
      <c r="F11" s="31" t="e">
        <f>'5.Inv'!$E10*'5.Inv'!$F10*'6.Var.Inv'!F10</f>
        <v>#VALUE!</v>
      </c>
      <c r="G11" s="31" t="e">
        <f>'5.Inv'!$E10*'5.Inv'!$F10*'6.Var.Inv'!G10</f>
        <v>#VALUE!</v>
      </c>
      <c r="H11" s="31" t="e">
        <f>'5.Inv'!$E10*'5.Inv'!$F10*'6.Var.Inv'!H10</f>
        <v>#VALUE!</v>
      </c>
      <c r="I11" s="31" t="e">
        <f>'5.Inv'!$E10*'5.Inv'!$F10*'6.Var.Inv'!I10</f>
        <v>#VALUE!</v>
      </c>
      <c r="J11" s="31" t="e">
        <f>'5.Inv'!$E10*'5.Inv'!$F10*'6.Var.Inv'!J10</f>
        <v>#VALUE!</v>
      </c>
      <c r="K11" s="31" t="e">
        <f>'5.Inv'!$E10*'5.Inv'!$F10*'6.Var.Inv'!K10</f>
        <v>#VALUE!</v>
      </c>
      <c r="L11" s="31" t="e">
        <f>'5.Inv'!$E10*'5.Inv'!$F10*'6.Var.Inv'!L10</f>
        <v>#VALUE!</v>
      </c>
      <c r="M11" s="31" t="e">
        <f>'5.Inv'!$E10*'5.Inv'!$F10*'6.Var.Inv'!M10</f>
        <v>#VALUE!</v>
      </c>
      <c r="N11" s="31" t="e">
        <f>'5.Inv'!$E10*'5.Inv'!$F10*'6.Var.Inv'!N10</f>
        <v>#VALUE!</v>
      </c>
      <c r="O11" s="31" t="e">
        <f>'5.Inv'!$E10*'5.Inv'!$F10*'6.Var.Inv'!O10</f>
        <v>#VALUE!</v>
      </c>
      <c r="P11" s="31" t="e">
        <f>'5.Inv'!$E10*'5.Inv'!$F10*'6.Var.Inv'!P10</f>
        <v>#VALUE!</v>
      </c>
      <c r="Q11" s="31" t="e">
        <f t="shared" ref="Q11:Q17" si="1">SUM(E11:P11)</f>
        <v>#VALUE!</v>
      </c>
      <c r="R11" s="31" t="e">
        <f>'5.Inv'!$E10*'5.Inv'!$F10*'6.Var.Inv'!R10</f>
        <v>#VALUE!</v>
      </c>
      <c r="S11" s="31" t="e">
        <f>'5.Inv'!$E10*'5.Inv'!$F10*'6.Var.Inv'!S10</f>
        <v>#VALUE!</v>
      </c>
    </row>
    <row r="12" spans="1:19">
      <c r="A12" s="27">
        <f>'5.Inv'!A11</f>
        <v>0</v>
      </c>
      <c r="B12" s="27">
        <f>'5.Inv'!B11</f>
        <v>0</v>
      </c>
      <c r="C12" s="26" t="str">
        <f>'5.Inv'!C11</f>
        <v>Bureau (Fauteuil + table)</v>
      </c>
      <c r="D12" s="26" t="str">
        <f>'5.Inv'!D11</f>
        <v>{var_21}</v>
      </c>
      <c r="E12" s="31" t="e">
        <f>'5.Inv'!$E11*'5.Inv'!$F11*'6.Var.Inv'!E11</f>
        <v>#VALUE!</v>
      </c>
      <c r="F12" s="31" t="e">
        <f>'5.Inv'!$E11*'5.Inv'!$F11*'6.Var.Inv'!F11</f>
        <v>#VALUE!</v>
      </c>
      <c r="G12" s="31" t="e">
        <f>'5.Inv'!$E11*'5.Inv'!$F11*'6.Var.Inv'!G11</f>
        <v>#VALUE!</v>
      </c>
      <c r="H12" s="31" t="e">
        <f>'5.Inv'!$E11*'5.Inv'!$F11*'6.Var.Inv'!H11</f>
        <v>#VALUE!</v>
      </c>
      <c r="I12" s="31" t="e">
        <f>'5.Inv'!$E11*'5.Inv'!$F11*'6.Var.Inv'!I11</f>
        <v>#VALUE!</v>
      </c>
      <c r="J12" s="31" t="e">
        <f>'5.Inv'!$E11*'5.Inv'!$F11*'6.Var.Inv'!J11</f>
        <v>#VALUE!</v>
      </c>
      <c r="K12" s="31" t="e">
        <f>'5.Inv'!$E11*'5.Inv'!$F11*'6.Var.Inv'!K11</f>
        <v>#VALUE!</v>
      </c>
      <c r="L12" s="31" t="e">
        <f>'5.Inv'!$E11*'5.Inv'!$F11*'6.Var.Inv'!L11</f>
        <v>#VALUE!</v>
      </c>
      <c r="M12" s="31" t="e">
        <f>'5.Inv'!$E11*'5.Inv'!$F11*'6.Var.Inv'!M11</f>
        <v>#VALUE!</v>
      </c>
      <c r="N12" s="31" t="e">
        <f>'5.Inv'!$E11*'5.Inv'!$F11*'6.Var.Inv'!N11</f>
        <v>#VALUE!</v>
      </c>
      <c r="O12" s="31" t="e">
        <f>'5.Inv'!$E11*'5.Inv'!$F11*'6.Var.Inv'!O11</f>
        <v>#VALUE!</v>
      </c>
      <c r="P12" s="31" t="e">
        <f>'5.Inv'!$E11*'5.Inv'!$F11*'6.Var.Inv'!P11</f>
        <v>#VALUE!</v>
      </c>
      <c r="Q12" s="31" t="e">
        <f t="shared" si="1"/>
        <v>#VALUE!</v>
      </c>
      <c r="R12" s="31" t="e">
        <f>'5.Inv'!$E11*'5.Inv'!$F11*'6.Var.Inv'!R11</f>
        <v>#VALUE!</v>
      </c>
      <c r="S12" s="31" t="e">
        <f>'5.Inv'!$E11*'5.Inv'!$F11*'6.Var.Inv'!S11</f>
        <v>#VALUE!</v>
      </c>
    </row>
    <row r="13" spans="1:19">
      <c r="A13" s="27">
        <f>'5.Inv'!A12</f>
        <v>0</v>
      </c>
      <c r="B13" s="27">
        <f>'5.Inv'!B12</f>
        <v>0</v>
      </c>
      <c r="C13" s="26" t="str">
        <f>'5.Inv'!C12</f>
        <v>Ordinateur PRO</v>
      </c>
      <c r="D13" s="26" t="str">
        <f>'5.Inv'!D12</f>
        <v>{var_22}</v>
      </c>
      <c r="E13" s="31" t="e">
        <f>'5.Inv'!$E12*'5.Inv'!$F12*'6.Var.Inv'!E12</f>
        <v>#VALUE!</v>
      </c>
      <c r="F13" s="31" t="e">
        <f>'5.Inv'!$E12*'5.Inv'!$F12*'6.Var.Inv'!F12</f>
        <v>#VALUE!</v>
      </c>
      <c r="G13" s="31" t="e">
        <f>'5.Inv'!$E12*'5.Inv'!$F12*'6.Var.Inv'!G12</f>
        <v>#VALUE!</v>
      </c>
      <c r="H13" s="31" t="e">
        <f>'5.Inv'!$E12*'5.Inv'!$F12*'6.Var.Inv'!H12</f>
        <v>#VALUE!</v>
      </c>
      <c r="I13" s="31" t="e">
        <f>'5.Inv'!$E12*'5.Inv'!$F12*'6.Var.Inv'!I12</f>
        <v>#VALUE!</v>
      </c>
      <c r="J13" s="31" t="e">
        <f>'5.Inv'!$E12*'5.Inv'!$F12*'6.Var.Inv'!J12</f>
        <v>#VALUE!</v>
      </c>
      <c r="K13" s="31" t="e">
        <f>'5.Inv'!$E12*'5.Inv'!$F12*'6.Var.Inv'!K12</f>
        <v>#VALUE!</v>
      </c>
      <c r="L13" s="31" t="e">
        <f>'5.Inv'!$E12*'5.Inv'!$F12*'6.Var.Inv'!L12</f>
        <v>#VALUE!</v>
      </c>
      <c r="M13" s="31" t="e">
        <f>'5.Inv'!$E12*'5.Inv'!$F12*'6.Var.Inv'!M12</f>
        <v>#VALUE!</v>
      </c>
      <c r="N13" s="31" t="e">
        <f>'5.Inv'!$E12*'5.Inv'!$F12*'6.Var.Inv'!N12</f>
        <v>#VALUE!</v>
      </c>
      <c r="O13" s="31" t="e">
        <f>'5.Inv'!$E12*'5.Inv'!$F12*'6.Var.Inv'!O12</f>
        <v>#VALUE!</v>
      </c>
      <c r="P13" s="31" t="e">
        <f>'5.Inv'!$E12*'5.Inv'!$F12*'6.Var.Inv'!P12</f>
        <v>#VALUE!</v>
      </c>
      <c r="Q13" s="31" t="e">
        <f t="shared" si="1"/>
        <v>#VALUE!</v>
      </c>
      <c r="R13" s="31" t="e">
        <f>'5.Inv'!$E12*'5.Inv'!$F12*'6.Var.Inv'!R12</f>
        <v>#VALUE!</v>
      </c>
      <c r="S13" s="31" t="e">
        <f>'5.Inv'!$E12*'5.Inv'!$F12*'6.Var.Inv'!S12</f>
        <v>#VALUE!</v>
      </c>
    </row>
    <row r="14" spans="1:19">
      <c r="A14" s="27"/>
      <c r="B14" s="27"/>
      <c r="C14" s="26" t="str">
        <f>'5.Inv'!C13</f>
        <v>Serveur</v>
      </c>
      <c r="D14" s="26" t="str">
        <f>'5.Inv'!D13</f>
        <v>{var_23}</v>
      </c>
      <c r="E14" s="31" t="e">
        <f>'5.Inv'!$E13*'5.Inv'!$F13*'6.Var.Inv'!E13</f>
        <v>#VALUE!</v>
      </c>
      <c r="F14" s="31" t="e">
        <f>'5.Inv'!$E13*'5.Inv'!$F13*'6.Var.Inv'!F13</f>
        <v>#VALUE!</v>
      </c>
      <c r="G14" s="31" t="e">
        <f>'5.Inv'!$E13*'5.Inv'!$F13*'6.Var.Inv'!G13</f>
        <v>#VALUE!</v>
      </c>
      <c r="H14" s="31" t="e">
        <f>'5.Inv'!$E13*'5.Inv'!$F13*'6.Var.Inv'!H13</f>
        <v>#VALUE!</v>
      </c>
      <c r="I14" s="31" t="e">
        <f>'5.Inv'!$E13*'5.Inv'!$F13*'6.Var.Inv'!I13</f>
        <v>#VALUE!</v>
      </c>
      <c r="J14" s="31" t="e">
        <f>'5.Inv'!$E13*'5.Inv'!$F13*'6.Var.Inv'!J13</f>
        <v>#VALUE!</v>
      </c>
      <c r="K14" s="31" t="e">
        <f>'5.Inv'!$E13*'5.Inv'!$F13*'6.Var.Inv'!K13</f>
        <v>#VALUE!</v>
      </c>
      <c r="L14" s="31" t="e">
        <f>'5.Inv'!$E13*'5.Inv'!$F13*'6.Var.Inv'!L13</f>
        <v>#VALUE!</v>
      </c>
      <c r="M14" s="31" t="e">
        <f>'5.Inv'!$E13*'5.Inv'!$F13*'6.Var.Inv'!M13</f>
        <v>#VALUE!</v>
      </c>
      <c r="N14" s="31" t="e">
        <f>'5.Inv'!$E13*'5.Inv'!$F13*'6.Var.Inv'!N13</f>
        <v>#VALUE!</v>
      </c>
      <c r="O14" s="31" t="e">
        <f>'5.Inv'!$E13*'5.Inv'!$F13*'6.Var.Inv'!O13</f>
        <v>#VALUE!</v>
      </c>
      <c r="P14" s="31" t="e">
        <f>'5.Inv'!$E13*'5.Inv'!$F13*'6.Var.Inv'!P13</f>
        <v>#VALUE!</v>
      </c>
      <c r="Q14" s="31" t="e">
        <f t="shared" si="1"/>
        <v>#VALUE!</v>
      </c>
      <c r="R14" s="31" t="e">
        <f>'5.Inv'!$E13*'5.Inv'!$F13*'6.Var.Inv'!R13</f>
        <v>#VALUE!</v>
      </c>
      <c r="S14" s="31" t="e">
        <f>'5.Inv'!$E13*'5.Inv'!$F13*'6.Var.Inv'!S13</f>
        <v>#VALUE!</v>
      </c>
    </row>
    <row r="15" spans="1:19">
      <c r="A15" s="27">
        <f>'5.Inv'!A13</f>
        <v>0</v>
      </c>
      <c r="B15" s="27">
        <f>'5.Inv'!B13</f>
        <v>0</v>
      </c>
      <c r="C15" s="26" t="str">
        <f>'5.Inv'!C14</f>
        <v>CANON EOS 80 D + objectif 18-135mm IS USM</v>
      </c>
      <c r="D15" s="26" t="str">
        <f>'5.Inv'!D14</f>
        <v>{var_24}</v>
      </c>
      <c r="E15" s="31" t="e">
        <f>'5.Inv'!$E14*'5.Inv'!$F14*'6.Var.Inv'!E14</f>
        <v>#VALUE!</v>
      </c>
      <c r="F15" s="31" t="e">
        <f>'5.Inv'!$E14*'5.Inv'!$F14*'6.Var.Inv'!F14</f>
        <v>#VALUE!</v>
      </c>
      <c r="G15" s="31" t="e">
        <f>'5.Inv'!$E14*'5.Inv'!$F14*'6.Var.Inv'!G14</f>
        <v>#VALUE!</v>
      </c>
      <c r="H15" s="31" t="e">
        <f>'5.Inv'!$E14*'5.Inv'!$F14*'6.Var.Inv'!H14</f>
        <v>#VALUE!</v>
      </c>
      <c r="I15" s="31" t="e">
        <f>'5.Inv'!$E14*'5.Inv'!$F14*'6.Var.Inv'!I14</f>
        <v>#VALUE!</v>
      </c>
      <c r="J15" s="31" t="e">
        <f>'5.Inv'!$E14*'5.Inv'!$F14*'6.Var.Inv'!J14</f>
        <v>#VALUE!</v>
      </c>
      <c r="K15" s="31" t="e">
        <f>'5.Inv'!$E14*'5.Inv'!$F14*'6.Var.Inv'!K14</f>
        <v>#VALUE!</v>
      </c>
      <c r="L15" s="31" t="e">
        <f>'5.Inv'!$E14*'5.Inv'!$F14*'6.Var.Inv'!L14</f>
        <v>#VALUE!</v>
      </c>
      <c r="M15" s="31" t="e">
        <f>'5.Inv'!$E14*'5.Inv'!$F14*'6.Var.Inv'!M14</f>
        <v>#VALUE!</v>
      </c>
      <c r="N15" s="31" t="e">
        <f>'5.Inv'!$E14*'5.Inv'!$F14*'6.Var.Inv'!N14</f>
        <v>#VALUE!</v>
      </c>
      <c r="O15" s="31" t="e">
        <f>'5.Inv'!$E14*'5.Inv'!$F14*'6.Var.Inv'!O14</f>
        <v>#VALUE!</v>
      </c>
      <c r="P15" s="31" t="e">
        <f>'5.Inv'!$E14*'5.Inv'!$F14*'6.Var.Inv'!P14</f>
        <v>#VALUE!</v>
      </c>
      <c r="Q15" s="31" t="e">
        <f t="shared" si="1"/>
        <v>#VALUE!</v>
      </c>
      <c r="R15" s="31" t="e">
        <f>'5.Inv'!$E14*'5.Inv'!$F14*'6.Var.Inv'!R14</f>
        <v>#VALUE!</v>
      </c>
      <c r="S15" s="31" t="e">
        <f>'5.Inv'!$E14*'5.Inv'!$F14*'6.Var.Inv'!S14</f>
        <v>#VALUE!</v>
      </c>
    </row>
    <row r="16" spans="1:19">
      <c r="A16" s="27">
        <f>'5.Inv'!A14</f>
        <v>0</v>
      </c>
      <c r="B16" s="27">
        <f>'5.Inv'!B14</f>
        <v>0</v>
      </c>
      <c r="C16" s="26" t="str">
        <f>'5.Inv'!C15</f>
        <v>Boîtier Canon EOS 5D Mark IV</v>
      </c>
      <c r="D16" s="26" t="str">
        <f>'5.Inv'!D15</f>
        <v>{var_25}</v>
      </c>
      <c r="E16" s="31" t="e">
        <f>'5.Inv'!$E15*'5.Inv'!$F15*'6.Var.Inv'!E15</f>
        <v>#VALUE!</v>
      </c>
      <c r="F16" s="31" t="e">
        <f>'5.Inv'!$E15*'5.Inv'!$F15*'6.Var.Inv'!F15</f>
        <v>#VALUE!</v>
      </c>
      <c r="G16" s="31" t="e">
        <f>'5.Inv'!$E15*'5.Inv'!$F15*'6.Var.Inv'!G15</f>
        <v>#VALUE!</v>
      </c>
      <c r="H16" s="31" t="e">
        <f>'5.Inv'!$E15*'5.Inv'!$F15*'6.Var.Inv'!H15</f>
        <v>#VALUE!</v>
      </c>
      <c r="I16" s="31" t="e">
        <f>'5.Inv'!$E15*'5.Inv'!$F15*'6.Var.Inv'!I15</f>
        <v>#VALUE!</v>
      </c>
      <c r="J16" s="31" t="e">
        <f>'5.Inv'!$E15*'5.Inv'!$F15*'6.Var.Inv'!J15</f>
        <v>#VALUE!</v>
      </c>
      <c r="K16" s="31" t="e">
        <f>'5.Inv'!$E15*'5.Inv'!$F15*'6.Var.Inv'!K15</f>
        <v>#VALUE!</v>
      </c>
      <c r="L16" s="31" t="e">
        <f>'5.Inv'!$E15*'5.Inv'!$F15*'6.Var.Inv'!L15</f>
        <v>#VALUE!</v>
      </c>
      <c r="M16" s="31" t="e">
        <f>'5.Inv'!$E15*'5.Inv'!$F15*'6.Var.Inv'!M15</f>
        <v>#VALUE!</v>
      </c>
      <c r="N16" s="31" t="e">
        <f>'5.Inv'!$E15*'5.Inv'!$F15*'6.Var.Inv'!N15</f>
        <v>#VALUE!</v>
      </c>
      <c r="O16" s="31" t="e">
        <f>'5.Inv'!$E15*'5.Inv'!$F15*'6.Var.Inv'!O15</f>
        <v>#VALUE!</v>
      </c>
      <c r="P16" s="31" t="e">
        <f>'5.Inv'!$E15*'5.Inv'!$F15*'6.Var.Inv'!P15</f>
        <v>#VALUE!</v>
      </c>
      <c r="Q16" s="31" t="e">
        <f t="shared" si="1"/>
        <v>#VALUE!</v>
      </c>
      <c r="R16" s="31" t="e">
        <f>'5.Inv'!$E15*'5.Inv'!$F15*'6.Var.Inv'!R15</f>
        <v>#VALUE!</v>
      </c>
      <c r="S16" s="31" t="e">
        <f>'5.Inv'!$E15*'5.Inv'!$F15*'6.Var.Inv'!S15</f>
        <v>#VALUE!</v>
      </c>
    </row>
    <row r="17" spans="1:19">
      <c r="A17" s="27">
        <f>'5.Inv'!A16</f>
        <v>0</v>
      </c>
      <c r="B17" s="27">
        <f>'5.Inv'!B16</f>
        <v>0</v>
      </c>
      <c r="C17" s="26" t="str">
        <f>'5.Inv'!C16</f>
        <v>Photocopieuse + Imprimante</v>
      </c>
      <c r="D17" s="26" t="str">
        <f>'5.Inv'!D16</f>
        <v>{var_26}</v>
      </c>
      <c r="E17" s="31" t="e">
        <f>'5.Inv'!$E16*'5.Inv'!$F16*'6.Var.Inv'!E16</f>
        <v>#VALUE!</v>
      </c>
      <c r="F17" s="31" t="e">
        <f>'5.Inv'!$E16*'5.Inv'!$F16*'6.Var.Inv'!F16</f>
        <v>#VALUE!</v>
      </c>
      <c r="G17" s="31" t="e">
        <f>'5.Inv'!$E16*'5.Inv'!$F16*'6.Var.Inv'!G16</f>
        <v>#VALUE!</v>
      </c>
      <c r="H17" s="31" t="e">
        <f>'5.Inv'!$E16*'5.Inv'!$F16*'6.Var.Inv'!H16</f>
        <v>#VALUE!</v>
      </c>
      <c r="I17" s="31" t="e">
        <f>'5.Inv'!$E16*'5.Inv'!$F16*'6.Var.Inv'!I16</f>
        <v>#VALUE!</v>
      </c>
      <c r="J17" s="31" t="e">
        <f>'5.Inv'!$E16*'5.Inv'!$F16*'6.Var.Inv'!J16</f>
        <v>#VALUE!</v>
      </c>
      <c r="K17" s="31" t="e">
        <f>'5.Inv'!$E16*'5.Inv'!$F16*'6.Var.Inv'!K16</f>
        <v>#VALUE!</v>
      </c>
      <c r="L17" s="31" t="e">
        <f>'5.Inv'!$E16*'5.Inv'!$F16*'6.Var.Inv'!L16</f>
        <v>#VALUE!</v>
      </c>
      <c r="M17" s="31" t="e">
        <f>'5.Inv'!$E16*'5.Inv'!$F16*'6.Var.Inv'!M16</f>
        <v>#VALUE!</v>
      </c>
      <c r="N17" s="31" t="e">
        <f>'5.Inv'!$E16*'5.Inv'!$F16*'6.Var.Inv'!N16</f>
        <v>#VALUE!</v>
      </c>
      <c r="O17" s="31" t="e">
        <f>'5.Inv'!$E16*'5.Inv'!$F16*'6.Var.Inv'!O16</f>
        <v>#VALUE!</v>
      </c>
      <c r="P17" s="31" t="e">
        <f>'5.Inv'!$E16*'5.Inv'!$F16*'6.Var.Inv'!P16</f>
        <v>#VALUE!</v>
      </c>
      <c r="Q17" s="31" t="e">
        <f t="shared" si="1"/>
        <v>#VALUE!</v>
      </c>
      <c r="R17" s="31" t="e">
        <f>'5.Inv'!$E16*'5.Inv'!$F16*'6.Var.Inv'!R16</f>
        <v>#VALUE!</v>
      </c>
      <c r="S17" s="31" t="e">
        <f>'5.Inv'!$E16*'5.Inv'!$F16*'6.Var.Inv'!S16</f>
        <v>#VALUE!</v>
      </c>
    </row>
    <row r="18" spans="1:19">
      <c r="A18" s="27" t="str">
        <f>'5.Inv'!A17</f>
        <v>4.</v>
      </c>
      <c r="B18" s="27" t="str">
        <f>'5.Inv'!B17</f>
        <v>Immobilisation incorporelles</v>
      </c>
      <c r="C18" s="26" t="str">
        <f>'5.Inv'!C17</f>
        <v>Caution et avance loyer</v>
      </c>
      <c r="D18" s="26" t="str">
        <f>'5.Inv'!D17</f>
        <v>{var_27}</v>
      </c>
      <c r="E18" s="31" t="e">
        <f>'5.Inv'!$E17*'5.Inv'!$F17*'6.Var.Inv'!E17</f>
        <v>#VALUE!</v>
      </c>
      <c r="F18" s="31" t="e">
        <f>'5.Inv'!$E17*'5.Inv'!$F17*'6.Var.Inv'!F17</f>
        <v>#VALUE!</v>
      </c>
      <c r="G18" s="31" t="e">
        <f>'5.Inv'!$E17*'5.Inv'!$F17*'6.Var.Inv'!G17</f>
        <v>#VALUE!</v>
      </c>
      <c r="H18" s="31" t="e">
        <f>'5.Inv'!$E17*'5.Inv'!$F17*'6.Var.Inv'!H17</f>
        <v>#VALUE!</v>
      </c>
      <c r="I18" s="31" t="e">
        <f>'5.Inv'!$E17*'5.Inv'!$F17*'6.Var.Inv'!I17</f>
        <v>#VALUE!</v>
      </c>
      <c r="J18" s="31" t="e">
        <f>'5.Inv'!$E17*'5.Inv'!$F17*'6.Var.Inv'!J17</f>
        <v>#VALUE!</v>
      </c>
      <c r="K18" s="31" t="e">
        <f>'5.Inv'!$E17*'5.Inv'!$F17*'6.Var.Inv'!K17</f>
        <v>#VALUE!</v>
      </c>
      <c r="L18" s="31" t="e">
        <f>'5.Inv'!$E17*'5.Inv'!$F17*'6.Var.Inv'!L17</f>
        <v>#VALUE!</v>
      </c>
      <c r="M18" s="31" t="e">
        <f>'5.Inv'!$E17*'5.Inv'!$F17*'6.Var.Inv'!M17</f>
        <v>#VALUE!</v>
      </c>
      <c r="N18" s="31" t="e">
        <f>'5.Inv'!$E17*'5.Inv'!$F17*'6.Var.Inv'!N17</f>
        <v>#VALUE!</v>
      </c>
      <c r="O18" s="31" t="e">
        <f>'5.Inv'!$E17*'5.Inv'!$F17*'6.Var.Inv'!O17</f>
        <v>#VALUE!</v>
      </c>
      <c r="P18" s="31" t="e">
        <f>'5.Inv'!$E17*'5.Inv'!$F17*'6.Var.Inv'!P17</f>
        <v>#VALUE!</v>
      </c>
      <c r="Q18" s="31" t="e">
        <f t="shared" si="0"/>
        <v>#VALUE!</v>
      </c>
      <c r="R18" s="31" t="e">
        <f>'5.Inv'!$E17*'5.Inv'!$F17*'6.Var.Inv'!R17</f>
        <v>#VALUE!</v>
      </c>
      <c r="S18" s="31" t="e">
        <f>'5.Inv'!$E17*'5.Inv'!$F17*'6.Var.Inv'!S17</f>
        <v>#VALUE!</v>
      </c>
    </row>
    <row r="19" spans="1:19">
      <c r="A19" s="27">
        <f>'5.Inv'!A18</f>
        <v>0</v>
      </c>
      <c r="B19" s="27">
        <f>'5.Inv'!B18</f>
        <v>0</v>
      </c>
      <c r="C19" s="26" t="str">
        <f>'5.Inv'!C18</f>
        <v>Branchement Téléphone et internet</v>
      </c>
      <c r="D19" s="26" t="str">
        <f>'5.Inv'!D18</f>
        <v>{var_28}</v>
      </c>
      <c r="E19" s="31" t="e">
        <f>'5.Inv'!$E18*'5.Inv'!$F18*'6.Var.Inv'!E18</f>
        <v>#VALUE!</v>
      </c>
      <c r="F19" s="31" t="e">
        <f>'5.Inv'!$E18*'5.Inv'!$F18*'6.Var.Inv'!F18</f>
        <v>#VALUE!</v>
      </c>
      <c r="G19" s="31" t="e">
        <f>'5.Inv'!$E18*'5.Inv'!$F18*'6.Var.Inv'!G18</f>
        <v>#VALUE!</v>
      </c>
      <c r="H19" s="31" t="e">
        <f>'5.Inv'!$E18*'5.Inv'!$F18*'6.Var.Inv'!H18</f>
        <v>#VALUE!</v>
      </c>
      <c r="I19" s="31" t="e">
        <f>'5.Inv'!$E18*'5.Inv'!$F18*'6.Var.Inv'!I18</f>
        <v>#VALUE!</v>
      </c>
      <c r="J19" s="31" t="e">
        <f>'5.Inv'!$E18*'5.Inv'!$F18*'6.Var.Inv'!J18</f>
        <v>#VALUE!</v>
      </c>
      <c r="K19" s="31" t="e">
        <f>'5.Inv'!$E18*'5.Inv'!$F18*'6.Var.Inv'!K18</f>
        <v>#VALUE!</v>
      </c>
      <c r="L19" s="31" t="e">
        <f>'5.Inv'!$E18*'5.Inv'!$F18*'6.Var.Inv'!L18</f>
        <v>#VALUE!</v>
      </c>
      <c r="M19" s="31" t="e">
        <f>'5.Inv'!$E18*'5.Inv'!$F18*'6.Var.Inv'!M18</f>
        <v>#VALUE!</v>
      </c>
      <c r="N19" s="31" t="e">
        <f>'5.Inv'!$E18*'5.Inv'!$F18*'6.Var.Inv'!N18</f>
        <v>#VALUE!</v>
      </c>
      <c r="O19" s="31" t="e">
        <f>'5.Inv'!$E18*'5.Inv'!$F18*'6.Var.Inv'!O18</f>
        <v>#VALUE!</v>
      </c>
      <c r="P19" s="31" t="e">
        <f>'5.Inv'!$E18*'5.Inv'!$F18*'6.Var.Inv'!P18</f>
        <v>#VALUE!</v>
      </c>
      <c r="Q19" s="31" t="e">
        <f t="shared" si="0"/>
        <v>#VALUE!</v>
      </c>
      <c r="R19" s="31" t="e">
        <f>'5.Inv'!$E18*'5.Inv'!$F18*'6.Var.Inv'!R18</f>
        <v>#VALUE!</v>
      </c>
      <c r="S19" s="31" t="e">
        <f>'5.Inv'!$E18*'5.Inv'!$F18*'6.Var.Inv'!S18</f>
        <v>#VALUE!</v>
      </c>
    </row>
    <row r="20" spans="1:19" s="25" customFormat="1">
      <c r="A20" s="27">
        <f>'5.Inv'!A19</f>
        <v>0</v>
      </c>
      <c r="B20" s="27">
        <f>'5.Inv'!B19</f>
        <v>0</v>
      </c>
      <c r="C20" s="26" t="str">
        <f>'5.Inv'!C19</f>
        <v>Branchement CIE et SODECI</v>
      </c>
      <c r="D20" s="26" t="str">
        <f>'5.Inv'!D19</f>
        <v>{var_29}</v>
      </c>
      <c r="E20" s="31" t="e">
        <f>'5.Inv'!$E19*'5.Inv'!$F19*'6.Var.Inv'!E19</f>
        <v>#VALUE!</v>
      </c>
      <c r="F20" s="31" t="e">
        <f>'5.Inv'!$E19*'5.Inv'!$F19*'6.Var.Inv'!F19</f>
        <v>#VALUE!</v>
      </c>
      <c r="G20" s="31" t="e">
        <f>'5.Inv'!$E19*'5.Inv'!$F19*'6.Var.Inv'!G19</f>
        <v>#VALUE!</v>
      </c>
      <c r="H20" s="31" t="e">
        <f>'5.Inv'!$E19*'5.Inv'!$F19*'6.Var.Inv'!H19</f>
        <v>#VALUE!</v>
      </c>
      <c r="I20" s="31" t="e">
        <f>'5.Inv'!$E19*'5.Inv'!$F19*'6.Var.Inv'!I19</f>
        <v>#VALUE!</v>
      </c>
      <c r="J20" s="31" t="e">
        <f>'5.Inv'!$E19*'5.Inv'!$F19*'6.Var.Inv'!J19</f>
        <v>#VALUE!</v>
      </c>
      <c r="K20" s="31" t="e">
        <f>'5.Inv'!$E19*'5.Inv'!$F19*'6.Var.Inv'!K19</f>
        <v>#VALUE!</v>
      </c>
      <c r="L20" s="31" t="e">
        <f>'5.Inv'!$E19*'5.Inv'!$F19*'6.Var.Inv'!L19</f>
        <v>#VALUE!</v>
      </c>
      <c r="M20" s="31" t="e">
        <f>'5.Inv'!$E19*'5.Inv'!$F19*'6.Var.Inv'!M19</f>
        <v>#VALUE!</v>
      </c>
      <c r="N20" s="31" t="e">
        <f>'5.Inv'!$E19*'5.Inv'!$F19*'6.Var.Inv'!N19</f>
        <v>#VALUE!</v>
      </c>
      <c r="O20" s="31" t="e">
        <f>'5.Inv'!$E19*'5.Inv'!$F19*'6.Var.Inv'!O19</f>
        <v>#VALUE!</v>
      </c>
      <c r="P20" s="31" t="e">
        <f>'5.Inv'!$E19*'5.Inv'!$F19*'6.Var.Inv'!P19</f>
        <v>#VALUE!</v>
      </c>
      <c r="Q20" s="31" t="e">
        <f t="shared" si="0"/>
        <v>#VALUE!</v>
      </c>
      <c r="R20" s="31" t="e">
        <f>'5.Inv'!$E19*'5.Inv'!$F19*'6.Var.Inv'!R19</f>
        <v>#VALUE!</v>
      </c>
      <c r="S20" s="31" t="e">
        <f>'5.Inv'!$E19*'5.Inv'!$F19*'6.Var.Inv'!S19</f>
        <v>#VALUE!</v>
      </c>
    </row>
    <row r="21" spans="1:19">
      <c r="A21" s="27">
        <f>'5.Inv'!A20</f>
        <v>0</v>
      </c>
      <c r="B21" s="27">
        <f>'5.Inv'!B20</f>
        <v>0</v>
      </c>
      <c r="C21" s="26" t="str">
        <f>'5.Inv'!C20</f>
        <v>Bail foncier</v>
      </c>
      <c r="D21" s="26" t="str">
        <f>'5.Inv'!D20</f>
        <v>{var_30}</v>
      </c>
      <c r="E21" s="31" t="e">
        <f>'5.Inv'!$E20*'5.Inv'!$F20*'6.Var.Inv'!E20</f>
        <v>#VALUE!</v>
      </c>
      <c r="F21" s="31" t="e">
        <f>'5.Inv'!$E20*'5.Inv'!$F20*'6.Var.Inv'!F20</f>
        <v>#VALUE!</v>
      </c>
      <c r="G21" s="31" t="e">
        <f>'5.Inv'!$E20*'5.Inv'!$F20*'6.Var.Inv'!G20</f>
        <v>#VALUE!</v>
      </c>
      <c r="H21" s="31" t="e">
        <f>'5.Inv'!$E20*'5.Inv'!$F20*'6.Var.Inv'!H20</f>
        <v>#VALUE!</v>
      </c>
      <c r="I21" s="31" t="e">
        <f>'5.Inv'!$E20*'5.Inv'!$F20*'6.Var.Inv'!I20</f>
        <v>#VALUE!</v>
      </c>
      <c r="J21" s="31" t="e">
        <f>'5.Inv'!$E20*'5.Inv'!$F20*'6.Var.Inv'!J20</f>
        <v>#VALUE!</v>
      </c>
      <c r="K21" s="31" t="e">
        <f>'5.Inv'!$E20*'5.Inv'!$F20*'6.Var.Inv'!K20</f>
        <v>#VALUE!</v>
      </c>
      <c r="L21" s="31" t="e">
        <f>'5.Inv'!$E20*'5.Inv'!$F20*'6.Var.Inv'!L20</f>
        <v>#VALUE!</v>
      </c>
      <c r="M21" s="31" t="e">
        <f>'5.Inv'!$E20*'5.Inv'!$F20*'6.Var.Inv'!M20</f>
        <v>#VALUE!</v>
      </c>
      <c r="N21" s="31" t="e">
        <f>'5.Inv'!$E20*'5.Inv'!$F20*'6.Var.Inv'!N20</f>
        <v>#VALUE!</v>
      </c>
      <c r="O21" s="31" t="e">
        <f>'5.Inv'!$E20*'5.Inv'!$F20*'6.Var.Inv'!O20</f>
        <v>#VALUE!</v>
      </c>
      <c r="P21" s="31" t="e">
        <f>'5.Inv'!$E20*'5.Inv'!$F20*'6.Var.Inv'!P20</f>
        <v>#VALUE!</v>
      </c>
      <c r="Q21" s="31" t="e">
        <f t="shared" si="0"/>
        <v>#VALUE!</v>
      </c>
      <c r="R21" s="31" t="e">
        <f>'5.Inv'!$E20*'5.Inv'!$F20*'6.Var.Inv'!R20</f>
        <v>#VALUE!</v>
      </c>
      <c r="S21" s="31" t="e">
        <f>'5.Inv'!$E20*'5.Inv'!$F20*'6.Var.Inv'!S20</f>
        <v>#VALUE!</v>
      </c>
    </row>
    <row r="22" spans="1:19">
      <c r="A22" s="27"/>
      <c r="B22" s="27" t="s">
        <v>96</v>
      </c>
      <c r="C22" s="86" t="s">
        <v>96</v>
      </c>
      <c r="D22" s="86"/>
      <c r="E22" s="31" t="e">
        <f>SUM(E4:E21)</f>
        <v>#VALUE!</v>
      </c>
      <c r="F22" s="31" t="e">
        <f t="shared" ref="F22:S22" si="2">SUM(F4:F21)</f>
        <v>#VALUE!</v>
      </c>
      <c r="G22" s="31" t="e">
        <f t="shared" si="2"/>
        <v>#VALUE!</v>
      </c>
      <c r="H22" s="31" t="e">
        <f t="shared" si="2"/>
        <v>#VALUE!</v>
      </c>
      <c r="I22" s="31" t="e">
        <f t="shared" si="2"/>
        <v>#VALUE!</v>
      </c>
      <c r="J22" s="31" t="e">
        <f t="shared" si="2"/>
        <v>#VALUE!</v>
      </c>
      <c r="K22" s="31" t="e">
        <f t="shared" si="2"/>
        <v>#VALUE!</v>
      </c>
      <c r="L22" s="31" t="e">
        <f t="shared" si="2"/>
        <v>#VALUE!</v>
      </c>
      <c r="M22" s="31" t="e">
        <f t="shared" si="2"/>
        <v>#VALUE!</v>
      </c>
      <c r="N22" s="31" t="e">
        <f t="shared" si="2"/>
        <v>#VALUE!</v>
      </c>
      <c r="O22" s="31" t="e">
        <f t="shared" si="2"/>
        <v>#VALUE!</v>
      </c>
      <c r="P22" s="31" t="e">
        <f t="shared" si="2"/>
        <v>#VALUE!</v>
      </c>
      <c r="Q22" s="31" t="e">
        <f t="shared" si="2"/>
        <v>#VALUE!</v>
      </c>
      <c r="R22" s="31" t="e">
        <f t="shared" si="2"/>
        <v>#VALUE!</v>
      </c>
      <c r="S22" s="31" t="e">
        <f t="shared" si="2"/>
        <v>#VALUE!</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CE63-E9DF-4526-BEA0-72690CB7D9A5}">
  <sheetPr>
    <tabColor rgb="FFFFFF00"/>
  </sheetPr>
  <dimension ref="A1:E10"/>
  <sheetViews>
    <sheetView workbookViewId="0">
      <selection activeCell="I11" sqref="I11"/>
    </sheetView>
  </sheetViews>
  <sheetFormatPr baseColWidth="10" defaultColWidth="10.83203125" defaultRowHeight="13"/>
  <cols>
    <col min="1" max="1" width="32.83203125" style="24" customWidth="1"/>
    <col min="2" max="2" width="27.1640625" style="24" bestFit="1" customWidth="1"/>
    <col min="3" max="3" width="8.1640625" style="24" bestFit="1" customWidth="1"/>
    <col min="4" max="4" width="3.83203125" style="24" bestFit="1" customWidth="1"/>
    <col min="5" max="5" width="8.83203125" style="24" bestFit="1" customWidth="1"/>
    <col min="6" max="16384" width="10.83203125" style="24"/>
  </cols>
  <sheetData>
    <row r="1" spans="1:5" ht="14">
      <c r="A1" s="124" t="s">
        <v>359</v>
      </c>
    </row>
    <row r="2" spans="1:5" ht="14">
      <c r="A2" s="124"/>
    </row>
    <row r="3" spans="1:5">
      <c r="A3" s="27" t="s">
        <v>85</v>
      </c>
      <c r="B3" s="116" t="s">
        <v>156</v>
      </c>
      <c r="C3" s="116" t="s">
        <v>163</v>
      </c>
      <c r="D3" s="116" t="s">
        <v>41</v>
      </c>
      <c r="E3" s="116" t="s">
        <v>42</v>
      </c>
    </row>
    <row r="4" spans="1:5">
      <c r="A4" s="36" t="s">
        <v>61</v>
      </c>
      <c r="B4" s="120" t="s">
        <v>372</v>
      </c>
      <c r="C4" s="120" t="s">
        <v>168</v>
      </c>
      <c r="D4" s="118" t="str">
        <f>BP_Pres!C11</f>
        <v>{var_5}</v>
      </c>
      <c r="E4" s="118" t="str">
        <f>BP_Pres!D11</f>
        <v>{var_9}</v>
      </c>
    </row>
    <row r="5" spans="1:5">
      <c r="A5" s="36" t="s">
        <v>61</v>
      </c>
      <c r="B5" s="120" t="s">
        <v>373</v>
      </c>
      <c r="C5" s="120" t="s">
        <v>168</v>
      </c>
      <c r="D5" s="118" t="str">
        <f>BP_Pres!C12</f>
        <v>{var_6}</v>
      </c>
      <c r="E5" s="118" t="str">
        <f>BP_Pres!D12</f>
        <v>{var_10}</v>
      </c>
    </row>
    <row r="6" spans="1:5">
      <c r="A6" s="36" t="s">
        <v>61</v>
      </c>
      <c r="B6" s="120" t="s">
        <v>374</v>
      </c>
      <c r="C6" s="120" t="s">
        <v>168</v>
      </c>
      <c r="D6" s="118" t="str">
        <f>BP_Pres!C13</f>
        <v>{var_7}</v>
      </c>
      <c r="E6" s="118" t="str">
        <f>BP_Pres!D13</f>
        <v>{var_12}</v>
      </c>
    </row>
    <row r="7" spans="1:5">
      <c r="A7" s="36" t="s">
        <v>61</v>
      </c>
      <c r="B7" s="120" t="s">
        <v>375</v>
      </c>
      <c r="C7" s="120" t="s">
        <v>168</v>
      </c>
      <c r="D7" s="118" t="str">
        <f>BP_Pres!C14</f>
        <v>{var_8}</v>
      </c>
      <c r="E7" s="118" t="str">
        <f>BP_Pres!D14</f>
        <v>{var_13}</v>
      </c>
    </row>
    <row r="8" spans="1:5">
      <c r="A8" s="111" t="s">
        <v>62</v>
      </c>
      <c r="B8" s="120"/>
      <c r="C8" s="120" t="s">
        <v>169</v>
      </c>
      <c r="D8" s="118"/>
      <c r="E8" s="118"/>
    </row>
    <row r="9" spans="1:5">
      <c r="A9" s="112" t="s">
        <v>92</v>
      </c>
      <c r="B9" s="120"/>
      <c r="C9" s="120" t="s">
        <v>170</v>
      </c>
      <c r="D9" s="118"/>
      <c r="E9" s="118"/>
    </row>
    <row r="10" spans="1:5">
      <c r="A10" s="36" t="s">
        <v>93</v>
      </c>
      <c r="B10" s="120"/>
      <c r="C10" s="120" t="s">
        <v>171</v>
      </c>
      <c r="D10" s="118"/>
      <c r="E10" s="118"/>
    </row>
  </sheetData>
  <phoneticPr fontId="4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C88F-B282-4ED6-BA0C-F929C8C1E694}">
  <sheetPr>
    <tabColor rgb="FFFFFF00"/>
  </sheetPr>
  <dimension ref="A1:R12"/>
  <sheetViews>
    <sheetView workbookViewId="0">
      <selection activeCell="Q5" sqref="Q5"/>
    </sheetView>
  </sheetViews>
  <sheetFormatPr baseColWidth="10" defaultColWidth="10.83203125" defaultRowHeight="13"/>
  <cols>
    <col min="1" max="1" width="32.83203125" style="24" customWidth="1"/>
    <col min="2" max="2" width="7.1640625" style="24" bestFit="1" customWidth="1"/>
    <col min="3" max="3" width="8.1640625" style="24" bestFit="1" customWidth="1"/>
    <col min="4" max="6" width="3.83203125" style="24" bestFit="1" customWidth="1"/>
    <col min="7" max="7" width="4.1640625" style="24" bestFit="1" customWidth="1"/>
    <col min="8" max="8" width="3.83203125" style="24" bestFit="1" customWidth="1"/>
    <col min="9" max="9" width="4.1640625" style="24" bestFit="1" customWidth="1"/>
    <col min="10" max="10" width="3.83203125" style="24" bestFit="1" customWidth="1"/>
    <col min="11" max="11" width="4.1640625" style="24" bestFit="1" customWidth="1"/>
    <col min="12" max="12" width="3.83203125" style="24" bestFit="1" customWidth="1"/>
    <col min="13" max="13" width="4.1640625" style="24" bestFit="1" customWidth="1"/>
    <col min="14" max="14" width="3.83203125" style="24" bestFit="1" customWidth="1"/>
    <col min="15" max="15" width="4.1640625" style="24" bestFit="1" customWidth="1"/>
    <col min="16" max="16" width="4.83203125" style="24" bestFit="1" customWidth="1"/>
    <col min="17" max="17" width="7.1640625" style="24" customWidth="1"/>
    <col min="18" max="18" width="7.83203125" style="24" bestFit="1" customWidth="1"/>
    <col min="19" max="16384" width="10.83203125" style="24"/>
  </cols>
  <sheetData>
    <row r="1" spans="1:18" ht="14">
      <c r="A1" s="124" t="s">
        <v>358</v>
      </c>
    </row>
    <row r="2" spans="1:18">
      <c r="D2" s="30" t="s">
        <v>83</v>
      </c>
      <c r="E2" s="30"/>
      <c r="F2" s="30"/>
      <c r="G2" s="30"/>
      <c r="H2" s="30"/>
      <c r="I2" s="30"/>
      <c r="J2" s="30"/>
      <c r="K2" s="30"/>
      <c r="L2" s="30"/>
      <c r="M2" s="30"/>
      <c r="N2" s="30"/>
      <c r="O2" s="30"/>
      <c r="P2" s="30" t="s">
        <v>84</v>
      </c>
      <c r="Q2" s="30"/>
      <c r="R2" s="30"/>
    </row>
    <row r="4" spans="1:18">
      <c r="A4" s="27" t="s">
        <v>85</v>
      </c>
      <c r="B4" s="27" t="s">
        <v>40</v>
      </c>
      <c r="C4" s="27" t="s">
        <v>163</v>
      </c>
      <c r="D4" s="116">
        <v>1</v>
      </c>
      <c r="E4" s="116">
        <v>2</v>
      </c>
      <c r="F4" s="116">
        <v>3</v>
      </c>
      <c r="G4" s="116">
        <v>4</v>
      </c>
      <c r="H4" s="116">
        <v>5</v>
      </c>
      <c r="I4" s="116">
        <v>6</v>
      </c>
      <c r="J4" s="116">
        <v>7</v>
      </c>
      <c r="K4" s="116">
        <v>8</v>
      </c>
      <c r="L4" s="116">
        <v>9</v>
      </c>
      <c r="M4" s="116">
        <v>10</v>
      </c>
      <c r="N4" s="116">
        <v>11</v>
      </c>
      <c r="O4" s="116">
        <v>12</v>
      </c>
      <c r="P4" s="116" t="s">
        <v>68</v>
      </c>
      <c r="Q4" s="116" t="s">
        <v>69</v>
      </c>
      <c r="R4" s="116" t="s">
        <v>70</v>
      </c>
    </row>
    <row r="5" spans="1:18">
      <c r="A5" s="36" t="str">
        <f>'8.Prod'!A4</f>
        <v>Ventes de marchandises</v>
      </c>
      <c r="B5" s="28" t="str">
        <f>'8.Prod'!B4</f>
        <v>CA de Tenue de luxe Homme</v>
      </c>
      <c r="C5" s="28" t="str">
        <f>'8.Prod'!C4</f>
        <v>VEN1</v>
      </c>
      <c r="D5" s="117">
        <v>60</v>
      </c>
      <c r="E5" s="117">
        <v>60</v>
      </c>
      <c r="F5" s="117">
        <v>60</v>
      </c>
      <c r="G5" s="117">
        <v>60</v>
      </c>
      <c r="H5" s="117">
        <v>60</v>
      </c>
      <c r="I5" s="117">
        <v>60</v>
      </c>
      <c r="J5" s="117">
        <v>60</v>
      </c>
      <c r="K5" s="117">
        <v>60</v>
      </c>
      <c r="L5" s="117">
        <v>60</v>
      </c>
      <c r="M5" s="117">
        <v>60</v>
      </c>
      <c r="N5" s="117">
        <v>60</v>
      </c>
      <c r="O5" s="117">
        <v>60</v>
      </c>
      <c r="P5" s="117">
        <v>720</v>
      </c>
      <c r="Q5" s="117">
        <v>792</v>
      </c>
      <c r="R5" s="117">
        <v>871.2</v>
      </c>
    </row>
    <row r="6" spans="1:18">
      <c r="A6" s="36" t="str">
        <f>'8.Prod'!A5</f>
        <v>Ventes de marchandises</v>
      </c>
      <c r="B6" s="28" t="str">
        <f>'8.Prod'!B5</f>
        <v>CA de Tenue de luxe Femme</v>
      </c>
      <c r="C6" s="28" t="str">
        <f>'8.Prod'!C5</f>
        <v>VEN1</v>
      </c>
      <c r="D6" s="117">
        <v>114</v>
      </c>
      <c r="E6" s="117">
        <v>114</v>
      </c>
      <c r="F6" s="117">
        <v>114</v>
      </c>
      <c r="G6" s="117">
        <v>114</v>
      </c>
      <c r="H6" s="117">
        <v>114</v>
      </c>
      <c r="I6" s="117">
        <v>114</v>
      </c>
      <c r="J6" s="117">
        <v>114</v>
      </c>
      <c r="K6" s="117">
        <v>114</v>
      </c>
      <c r="L6" s="117">
        <v>114</v>
      </c>
      <c r="M6" s="117">
        <v>114</v>
      </c>
      <c r="N6" s="117">
        <v>114</v>
      </c>
      <c r="O6" s="117">
        <v>114</v>
      </c>
      <c r="P6" s="117">
        <v>1368</v>
      </c>
      <c r="Q6" s="117">
        <v>1504.8000000000002</v>
      </c>
      <c r="R6" s="117">
        <v>1655.2800000000002</v>
      </c>
    </row>
    <row r="7" spans="1:18">
      <c r="A7" s="36" t="str">
        <f>'8.Prod'!A6</f>
        <v>Ventes de marchandises</v>
      </c>
      <c r="B7" s="28" t="str">
        <f>'8.Prod'!B6</f>
        <v>CA de Prêt-à-porter homme</v>
      </c>
      <c r="C7" s="28" t="str">
        <f>'8.Prod'!C6</f>
        <v>VEN1</v>
      </c>
      <c r="D7" s="117">
        <v>240</v>
      </c>
      <c r="E7" s="117">
        <v>240</v>
      </c>
      <c r="F7" s="117">
        <v>240</v>
      </c>
      <c r="G7" s="117">
        <v>240</v>
      </c>
      <c r="H7" s="117">
        <v>240</v>
      </c>
      <c r="I7" s="117">
        <v>240</v>
      </c>
      <c r="J7" s="117">
        <v>240</v>
      </c>
      <c r="K7" s="117">
        <v>240</v>
      </c>
      <c r="L7" s="117">
        <v>240</v>
      </c>
      <c r="M7" s="117">
        <v>240</v>
      </c>
      <c r="N7" s="117">
        <v>240</v>
      </c>
      <c r="O7" s="117">
        <v>240</v>
      </c>
      <c r="P7" s="117">
        <v>2880</v>
      </c>
      <c r="Q7" s="117">
        <v>3168</v>
      </c>
      <c r="R7" s="117">
        <v>3484.8</v>
      </c>
    </row>
    <row r="8" spans="1:18">
      <c r="A8" s="36" t="str">
        <f>'8.Prod'!A7</f>
        <v>Ventes de marchandises</v>
      </c>
      <c r="B8" s="28" t="str">
        <f>'8.Prod'!B7</f>
        <v>CA de Prêt-à-porter femme</v>
      </c>
      <c r="C8" s="28" t="str">
        <f>'8.Prod'!C7</f>
        <v>VEN1</v>
      </c>
      <c r="D8" s="117">
        <v>456</v>
      </c>
      <c r="E8" s="117">
        <v>456</v>
      </c>
      <c r="F8" s="117">
        <v>456</v>
      </c>
      <c r="G8" s="117">
        <v>456</v>
      </c>
      <c r="H8" s="117">
        <v>456</v>
      </c>
      <c r="I8" s="117">
        <v>456</v>
      </c>
      <c r="J8" s="117">
        <v>456</v>
      </c>
      <c r="K8" s="117">
        <v>456</v>
      </c>
      <c r="L8" s="117">
        <v>456</v>
      </c>
      <c r="M8" s="117">
        <v>456</v>
      </c>
      <c r="N8" s="117">
        <v>456</v>
      </c>
      <c r="O8" s="117">
        <v>456</v>
      </c>
      <c r="P8" s="117">
        <v>5472</v>
      </c>
      <c r="Q8" s="117">
        <v>6019.2000000000007</v>
      </c>
      <c r="R8" s="117">
        <v>6621.1200000000008</v>
      </c>
    </row>
    <row r="9" spans="1:18">
      <c r="A9" s="111" t="str">
        <f>'8.Prod'!A8</f>
        <v>Ventes de produits fabriqués</v>
      </c>
      <c r="B9" s="28">
        <f>'8.Prod'!B8</f>
        <v>0</v>
      </c>
      <c r="C9" s="28" t="str">
        <f>'8.Prod'!C8</f>
        <v>VEN2</v>
      </c>
      <c r="D9" s="117"/>
      <c r="E9" s="117"/>
      <c r="F9" s="117"/>
      <c r="G9" s="117"/>
      <c r="H9" s="117"/>
      <c r="I9" s="117"/>
      <c r="J9" s="117"/>
      <c r="K9" s="117"/>
      <c r="L9" s="117"/>
      <c r="M9" s="117"/>
      <c r="N9" s="117"/>
      <c r="O9" s="117"/>
      <c r="P9" s="117"/>
      <c r="Q9" s="117">
        <v>1.1000000000000001</v>
      </c>
      <c r="R9" s="117">
        <v>1.1000000000000001</v>
      </c>
    </row>
    <row r="10" spans="1:18">
      <c r="A10" s="112" t="str">
        <f>'8.Prod'!A9</f>
        <v>Vente de services</v>
      </c>
      <c r="B10" s="28">
        <f>'8.Prod'!B9</f>
        <v>0</v>
      </c>
      <c r="C10" s="28" t="str">
        <f>'8.Prod'!C9</f>
        <v>VEN3</v>
      </c>
      <c r="D10" s="117"/>
      <c r="E10" s="117"/>
      <c r="F10" s="117"/>
      <c r="G10" s="117"/>
      <c r="H10" s="117"/>
      <c r="I10" s="117"/>
      <c r="J10" s="117"/>
      <c r="K10" s="117"/>
      <c r="L10" s="117"/>
      <c r="M10" s="117"/>
      <c r="N10" s="117"/>
      <c r="O10" s="117"/>
      <c r="P10" s="117"/>
      <c r="Q10" s="117">
        <v>1.1000000000000001</v>
      </c>
      <c r="R10" s="117">
        <v>1.1000000000000001</v>
      </c>
    </row>
    <row r="11" spans="1:18">
      <c r="A11" s="36" t="str">
        <f>'8.Prod'!A10</f>
        <v>Ventes d'autre produits</v>
      </c>
      <c r="B11" s="28">
        <f>'8.Prod'!B10</f>
        <v>0</v>
      </c>
      <c r="C11" s="28" t="str">
        <f>'8.Prod'!C10</f>
        <v>VEN4</v>
      </c>
      <c r="D11" s="117"/>
      <c r="E11" s="117"/>
      <c r="F11" s="117"/>
      <c r="G11" s="117"/>
      <c r="H11" s="117"/>
      <c r="I11" s="117"/>
      <c r="J11" s="117"/>
      <c r="K11" s="117"/>
      <c r="L11" s="117"/>
      <c r="M11" s="117"/>
      <c r="N11" s="117"/>
      <c r="O11" s="117"/>
      <c r="P11" s="117"/>
      <c r="Q11" s="117">
        <v>1.1000000000000001</v>
      </c>
      <c r="R11" s="117">
        <v>1.1000000000000001</v>
      </c>
    </row>
    <row r="12" spans="1:18">
      <c r="A12" s="36" t="s">
        <v>96</v>
      </c>
      <c r="B12" s="28"/>
      <c r="C12" s="28"/>
      <c r="D12" s="26">
        <f>AVERAGE(D5:D11)</f>
        <v>217.5</v>
      </c>
      <c r="E12" s="26">
        <f t="shared" ref="E12:R12" si="0">AVERAGE(E5:E11)</f>
        <v>217.5</v>
      </c>
      <c r="F12" s="26">
        <f t="shared" si="0"/>
        <v>217.5</v>
      </c>
      <c r="G12" s="26">
        <f t="shared" si="0"/>
        <v>217.5</v>
      </c>
      <c r="H12" s="26">
        <f t="shared" si="0"/>
        <v>217.5</v>
      </c>
      <c r="I12" s="26">
        <f t="shared" si="0"/>
        <v>217.5</v>
      </c>
      <c r="J12" s="26">
        <f t="shared" si="0"/>
        <v>217.5</v>
      </c>
      <c r="K12" s="26">
        <f t="shared" si="0"/>
        <v>217.5</v>
      </c>
      <c r="L12" s="26">
        <f t="shared" si="0"/>
        <v>217.5</v>
      </c>
      <c r="M12" s="26">
        <f t="shared" si="0"/>
        <v>217.5</v>
      </c>
      <c r="N12" s="26">
        <f t="shared" si="0"/>
        <v>217.5</v>
      </c>
      <c r="O12" s="26">
        <f t="shared" si="0"/>
        <v>217.5</v>
      </c>
      <c r="P12" s="26">
        <f t="shared" si="0"/>
        <v>2610</v>
      </c>
      <c r="Q12" s="26">
        <f t="shared" si="0"/>
        <v>1641.0428571428572</v>
      </c>
      <c r="R12" s="26">
        <f t="shared" si="0"/>
        <v>1805.1000000000004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F508-55D5-487F-B8E3-B4BD9EAD750E}">
  <sheetPr>
    <tabColor rgb="FFFFFF00"/>
  </sheetPr>
  <dimension ref="A1:R12"/>
  <sheetViews>
    <sheetView workbookViewId="0">
      <selection activeCell="B5" sqref="B5"/>
    </sheetView>
  </sheetViews>
  <sheetFormatPr baseColWidth="10" defaultColWidth="10.83203125" defaultRowHeight="13"/>
  <cols>
    <col min="1" max="1" width="32.83203125" style="24" customWidth="1"/>
    <col min="2" max="2" width="37.83203125" style="24" customWidth="1"/>
    <col min="3" max="3" width="8.1640625" style="24" bestFit="1" customWidth="1"/>
    <col min="4" max="15" width="9.83203125" style="24" bestFit="1" customWidth="1"/>
    <col min="16" max="18" width="10.83203125" style="24" bestFit="1" customWidth="1"/>
    <col min="19" max="16384" width="10.83203125" style="24"/>
  </cols>
  <sheetData>
    <row r="1" spans="1:18" ht="14">
      <c r="A1" s="124" t="s">
        <v>357</v>
      </c>
    </row>
    <row r="2" spans="1:18">
      <c r="D2" s="30" t="s">
        <v>83</v>
      </c>
      <c r="E2" s="30"/>
      <c r="F2" s="30"/>
      <c r="G2" s="30"/>
      <c r="H2" s="30"/>
      <c r="I2" s="30"/>
      <c r="J2" s="30"/>
      <c r="K2" s="30"/>
      <c r="L2" s="30"/>
      <c r="M2" s="30"/>
      <c r="N2" s="30"/>
      <c r="O2" s="30"/>
      <c r="P2" s="30" t="s">
        <v>84</v>
      </c>
      <c r="Q2" s="30"/>
      <c r="R2" s="30"/>
    </row>
    <row r="4" spans="1:18">
      <c r="A4" s="27" t="s">
        <v>85</v>
      </c>
      <c r="B4" s="27" t="s">
        <v>40</v>
      </c>
      <c r="C4" s="27" t="s">
        <v>163</v>
      </c>
      <c r="D4" s="27">
        <v>1</v>
      </c>
      <c r="E4" s="27">
        <v>2</v>
      </c>
      <c r="F4" s="27">
        <v>3</v>
      </c>
      <c r="G4" s="27">
        <v>4</v>
      </c>
      <c r="H4" s="27">
        <v>5</v>
      </c>
      <c r="I4" s="27">
        <v>6</v>
      </c>
      <c r="J4" s="27">
        <v>7</v>
      </c>
      <c r="K4" s="27">
        <v>8</v>
      </c>
      <c r="L4" s="27">
        <v>9</v>
      </c>
      <c r="M4" s="27">
        <v>10</v>
      </c>
      <c r="N4" s="27">
        <v>11</v>
      </c>
      <c r="O4" s="27">
        <v>12</v>
      </c>
      <c r="P4" s="27" t="s">
        <v>68</v>
      </c>
      <c r="Q4" s="27" t="s">
        <v>69</v>
      </c>
      <c r="R4" s="27" t="s">
        <v>70</v>
      </c>
    </row>
    <row r="5" spans="1:18">
      <c r="A5" s="36" t="str">
        <f>'8.Prod'!A4</f>
        <v>Ventes de marchandises</v>
      </c>
      <c r="B5" s="28" t="str">
        <f>'8.Prod'!B4</f>
        <v>CA de Tenue de luxe Homme</v>
      </c>
      <c r="C5" s="28" t="str">
        <f>'8.Prod'!C4</f>
        <v>VEN1</v>
      </c>
      <c r="D5" s="31" t="e">
        <f>'8.Prod'!$D4*'8.Prod'!$E4*'9.Var.Vente1'!D5</f>
        <v>#VALUE!</v>
      </c>
      <c r="E5" s="31" t="e">
        <f>'8.Prod'!$D4*'8.Prod'!$E4*'9.Var.Vente1'!E5</f>
        <v>#VALUE!</v>
      </c>
      <c r="F5" s="31" t="e">
        <f>'8.Prod'!$D4*'8.Prod'!$E4*'9.Var.Vente1'!F5</f>
        <v>#VALUE!</v>
      </c>
      <c r="G5" s="31" t="e">
        <f>'8.Prod'!$D4*'8.Prod'!$E4*'9.Var.Vente1'!G5</f>
        <v>#VALUE!</v>
      </c>
      <c r="H5" s="31" t="e">
        <f>'8.Prod'!$D4*'8.Prod'!$E4*'9.Var.Vente1'!H5</f>
        <v>#VALUE!</v>
      </c>
      <c r="I5" s="31" t="e">
        <f>'8.Prod'!$D4*'8.Prod'!$E4*'9.Var.Vente1'!I5</f>
        <v>#VALUE!</v>
      </c>
      <c r="J5" s="31" t="e">
        <f>'8.Prod'!$D4*'8.Prod'!$E4*'9.Var.Vente1'!J5</f>
        <v>#VALUE!</v>
      </c>
      <c r="K5" s="31" t="e">
        <f>'8.Prod'!$D4*'8.Prod'!$E4*'9.Var.Vente1'!K5</f>
        <v>#VALUE!</v>
      </c>
      <c r="L5" s="31" t="e">
        <f>'8.Prod'!$D4*'8.Prod'!$E4*'9.Var.Vente1'!L5</f>
        <v>#VALUE!</v>
      </c>
      <c r="M5" s="31" t="e">
        <f>'8.Prod'!$D4*'8.Prod'!$E4*'9.Var.Vente1'!M5</f>
        <v>#VALUE!</v>
      </c>
      <c r="N5" s="31" t="e">
        <f>'8.Prod'!$D4*'8.Prod'!$E4*'9.Var.Vente1'!N5</f>
        <v>#VALUE!</v>
      </c>
      <c r="O5" s="31" t="e">
        <f>'8.Prod'!$D4*'8.Prod'!$E4*'9.Var.Vente1'!O5</f>
        <v>#VALUE!</v>
      </c>
      <c r="P5" s="31" t="e">
        <f>'8.Prod'!$D4*'8.Prod'!$E4*'9.Var.Vente1'!P5</f>
        <v>#VALUE!</v>
      </c>
      <c r="Q5" s="31" t="e">
        <f>'8.Prod'!$D4*'8.Prod'!$E4*'9.Var.Vente1'!Q5</f>
        <v>#VALUE!</v>
      </c>
      <c r="R5" s="31" t="e">
        <f>'8.Prod'!$D4*'8.Prod'!$E4*'9.Var.Vente1'!R5</f>
        <v>#VALUE!</v>
      </c>
    </row>
    <row r="6" spans="1:18">
      <c r="A6" s="36" t="str">
        <f>'8.Prod'!A5</f>
        <v>Ventes de marchandises</v>
      </c>
      <c r="B6" s="28" t="str">
        <f>'8.Prod'!B5</f>
        <v>CA de Tenue de luxe Femme</v>
      </c>
      <c r="C6" s="28" t="str">
        <f>'8.Prod'!C5</f>
        <v>VEN1</v>
      </c>
      <c r="D6" s="31" t="e">
        <f>'8.Prod'!$D5*'8.Prod'!$E5*'9.Var.Vente1'!D6</f>
        <v>#VALUE!</v>
      </c>
      <c r="E6" s="31" t="e">
        <f>'8.Prod'!$D5*'8.Prod'!$E5*'9.Var.Vente1'!E6</f>
        <v>#VALUE!</v>
      </c>
      <c r="F6" s="31" t="e">
        <f>'8.Prod'!$D5*'8.Prod'!$E5*'9.Var.Vente1'!F6</f>
        <v>#VALUE!</v>
      </c>
      <c r="G6" s="31" t="e">
        <f>'8.Prod'!$D5*'8.Prod'!$E5*'9.Var.Vente1'!G6</f>
        <v>#VALUE!</v>
      </c>
      <c r="H6" s="31" t="e">
        <f>'8.Prod'!$D5*'8.Prod'!$E5*'9.Var.Vente1'!H6</f>
        <v>#VALUE!</v>
      </c>
      <c r="I6" s="31" t="e">
        <f>'8.Prod'!$D5*'8.Prod'!$E5*'9.Var.Vente1'!I6</f>
        <v>#VALUE!</v>
      </c>
      <c r="J6" s="31" t="e">
        <f>'8.Prod'!$D5*'8.Prod'!$E5*'9.Var.Vente1'!J6</f>
        <v>#VALUE!</v>
      </c>
      <c r="K6" s="31" t="e">
        <f>'8.Prod'!$D5*'8.Prod'!$E5*'9.Var.Vente1'!K6</f>
        <v>#VALUE!</v>
      </c>
      <c r="L6" s="31" t="e">
        <f>'8.Prod'!$D5*'8.Prod'!$E5*'9.Var.Vente1'!L6</f>
        <v>#VALUE!</v>
      </c>
      <c r="M6" s="31" t="e">
        <f>'8.Prod'!$D5*'8.Prod'!$E5*'9.Var.Vente1'!M6</f>
        <v>#VALUE!</v>
      </c>
      <c r="N6" s="31" t="e">
        <f>'8.Prod'!$D5*'8.Prod'!$E5*'9.Var.Vente1'!N6</f>
        <v>#VALUE!</v>
      </c>
      <c r="O6" s="31" t="e">
        <f>'8.Prod'!$D5*'8.Prod'!$E5*'9.Var.Vente1'!O6</f>
        <v>#VALUE!</v>
      </c>
      <c r="P6" s="31" t="e">
        <f>'8.Prod'!$D5*'8.Prod'!$E5*'9.Var.Vente1'!P6</f>
        <v>#VALUE!</v>
      </c>
      <c r="Q6" s="31" t="e">
        <f>'8.Prod'!$D5*'8.Prod'!$E5*'9.Var.Vente1'!Q6</f>
        <v>#VALUE!</v>
      </c>
      <c r="R6" s="31" t="e">
        <f>'8.Prod'!$D5*'8.Prod'!$E5*'9.Var.Vente1'!R6</f>
        <v>#VALUE!</v>
      </c>
    </row>
    <row r="7" spans="1:18">
      <c r="A7" s="36" t="str">
        <f>'8.Prod'!A6</f>
        <v>Ventes de marchandises</v>
      </c>
      <c r="B7" s="28" t="str">
        <f>'8.Prod'!B6</f>
        <v>CA de Prêt-à-porter homme</v>
      </c>
      <c r="C7" s="28" t="str">
        <f>'8.Prod'!C6</f>
        <v>VEN1</v>
      </c>
      <c r="D7" s="31" t="e">
        <f>'8.Prod'!$D6*'8.Prod'!$E6*'9.Var.Vente1'!D7</f>
        <v>#VALUE!</v>
      </c>
      <c r="E7" s="31" t="e">
        <f>'8.Prod'!$D6*'8.Prod'!$E6*'9.Var.Vente1'!E7</f>
        <v>#VALUE!</v>
      </c>
      <c r="F7" s="31" t="e">
        <f>'8.Prod'!$D6*'8.Prod'!$E6*'9.Var.Vente1'!F7</f>
        <v>#VALUE!</v>
      </c>
      <c r="G7" s="31" t="e">
        <f>'8.Prod'!$D6*'8.Prod'!$E6*'9.Var.Vente1'!G7</f>
        <v>#VALUE!</v>
      </c>
      <c r="H7" s="31" t="e">
        <f>'8.Prod'!$D6*'8.Prod'!$E6*'9.Var.Vente1'!H7</f>
        <v>#VALUE!</v>
      </c>
      <c r="I7" s="31" t="e">
        <f>'8.Prod'!$D6*'8.Prod'!$E6*'9.Var.Vente1'!I7</f>
        <v>#VALUE!</v>
      </c>
      <c r="J7" s="31" t="e">
        <f>'8.Prod'!$D6*'8.Prod'!$E6*'9.Var.Vente1'!J7</f>
        <v>#VALUE!</v>
      </c>
      <c r="K7" s="31" t="e">
        <f>'8.Prod'!$D6*'8.Prod'!$E6*'9.Var.Vente1'!K7</f>
        <v>#VALUE!</v>
      </c>
      <c r="L7" s="31" t="e">
        <f>'8.Prod'!$D6*'8.Prod'!$E6*'9.Var.Vente1'!L7</f>
        <v>#VALUE!</v>
      </c>
      <c r="M7" s="31" t="e">
        <f>'8.Prod'!$D6*'8.Prod'!$E6*'9.Var.Vente1'!M7</f>
        <v>#VALUE!</v>
      </c>
      <c r="N7" s="31" t="e">
        <f>'8.Prod'!$D6*'8.Prod'!$E6*'9.Var.Vente1'!N7</f>
        <v>#VALUE!</v>
      </c>
      <c r="O7" s="31" t="e">
        <f>'8.Prod'!$D6*'8.Prod'!$E6*'9.Var.Vente1'!O7</f>
        <v>#VALUE!</v>
      </c>
      <c r="P7" s="31" t="e">
        <f>'8.Prod'!$D6*'8.Prod'!$E6*'9.Var.Vente1'!P7</f>
        <v>#VALUE!</v>
      </c>
      <c r="Q7" s="31" t="e">
        <f>'8.Prod'!$D6*'8.Prod'!$E6*'9.Var.Vente1'!Q7</f>
        <v>#VALUE!</v>
      </c>
      <c r="R7" s="31" t="e">
        <f>'8.Prod'!$D6*'8.Prod'!$E6*'9.Var.Vente1'!R7</f>
        <v>#VALUE!</v>
      </c>
    </row>
    <row r="8" spans="1:18">
      <c r="A8" s="36" t="str">
        <f>'8.Prod'!A7</f>
        <v>Ventes de marchandises</v>
      </c>
      <c r="B8" s="28" t="str">
        <f>'8.Prod'!B7</f>
        <v>CA de Prêt-à-porter femme</v>
      </c>
      <c r="C8" s="28" t="str">
        <f>'8.Prod'!C7</f>
        <v>VEN1</v>
      </c>
      <c r="D8" s="31" t="e">
        <f>'8.Prod'!$D7*'8.Prod'!$E7*'9.Var.Vente1'!D8</f>
        <v>#VALUE!</v>
      </c>
      <c r="E8" s="31" t="e">
        <f>'8.Prod'!$D7*'8.Prod'!$E7*'9.Var.Vente1'!E8</f>
        <v>#VALUE!</v>
      </c>
      <c r="F8" s="31" t="e">
        <f>'8.Prod'!$D7*'8.Prod'!$E7*'9.Var.Vente1'!F8</f>
        <v>#VALUE!</v>
      </c>
      <c r="G8" s="31" t="e">
        <f>'8.Prod'!$D7*'8.Prod'!$E7*'9.Var.Vente1'!G8</f>
        <v>#VALUE!</v>
      </c>
      <c r="H8" s="31" t="e">
        <f>'8.Prod'!$D7*'8.Prod'!$E7*'9.Var.Vente1'!H8</f>
        <v>#VALUE!</v>
      </c>
      <c r="I8" s="31" t="e">
        <f>'8.Prod'!$D7*'8.Prod'!$E7*'9.Var.Vente1'!I8</f>
        <v>#VALUE!</v>
      </c>
      <c r="J8" s="31" t="e">
        <f>'8.Prod'!$D7*'8.Prod'!$E7*'9.Var.Vente1'!J8</f>
        <v>#VALUE!</v>
      </c>
      <c r="K8" s="31" t="e">
        <f>'8.Prod'!$D7*'8.Prod'!$E7*'9.Var.Vente1'!K8</f>
        <v>#VALUE!</v>
      </c>
      <c r="L8" s="31" t="e">
        <f>'8.Prod'!$D7*'8.Prod'!$E7*'9.Var.Vente1'!L8</f>
        <v>#VALUE!</v>
      </c>
      <c r="M8" s="31" t="e">
        <f>'8.Prod'!$D7*'8.Prod'!$E7*'9.Var.Vente1'!M8</f>
        <v>#VALUE!</v>
      </c>
      <c r="N8" s="31" t="e">
        <f>'8.Prod'!$D7*'8.Prod'!$E7*'9.Var.Vente1'!N8</f>
        <v>#VALUE!</v>
      </c>
      <c r="O8" s="31" t="e">
        <f>'8.Prod'!$D7*'8.Prod'!$E7*'9.Var.Vente1'!O8</f>
        <v>#VALUE!</v>
      </c>
      <c r="P8" s="31" t="e">
        <f>'8.Prod'!$D7*'8.Prod'!$E7*'9.Var.Vente1'!P8</f>
        <v>#VALUE!</v>
      </c>
      <c r="Q8" s="31" t="e">
        <f>'8.Prod'!$D7*'8.Prod'!$E7*'9.Var.Vente1'!Q8</f>
        <v>#VALUE!</v>
      </c>
      <c r="R8" s="31" t="e">
        <f>'8.Prod'!$D7*'8.Prod'!$E7*'9.Var.Vente1'!R8</f>
        <v>#VALUE!</v>
      </c>
    </row>
    <row r="9" spans="1:18">
      <c r="A9" s="111" t="str">
        <f>'8.Prod'!A8</f>
        <v>Ventes de produits fabriqués</v>
      </c>
      <c r="B9" s="28">
        <f>'8.Prod'!B8</f>
        <v>0</v>
      </c>
      <c r="C9" s="28" t="str">
        <f>'8.Prod'!C8</f>
        <v>VEN2</v>
      </c>
      <c r="D9" s="31">
        <f>'8.Prod'!$D8*'8.Prod'!$E8*'9.Var.Vente1'!D9</f>
        <v>0</v>
      </c>
      <c r="E9" s="31">
        <f>'8.Prod'!$D8*'8.Prod'!$E8*'9.Var.Vente1'!E9</f>
        <v>0</v>
      </c>
      <c r="F9" s="31">
        <f>'8.Prod'!$D8*'8.Prod'!$E8*'9.Var.Vente1'!F9</f>
        <v>0</v>
      </c>
      <c r="G9" s="31">
        <f>'8.Prod'!$D8*'8.Prod'!$E8*'9.Var.Vente1'!G9</f>
        <v>0</v>
      </c>
      <c r="H9" s="31">
        <f>'8.Prod'!$D8*'8.Prod'!$E8*'9.Var.Vente1'!H9</f>
        <v>0</v>
      </c>
      <c r="I9" s="31">
        <f>'8.Prod'!$D8*'8.Prod'!$E8*'9.Var.Vente1'!I9</f>
        <v>0</v>
      </c>
      <c r="J9" s="31">
        <f>'8.Prod'!$D8*'8.Prod'!$E8*'9.Var.Vente1'!J9</f>
        <v>0</v>
      </c>
      <c r="K9" s="31">
        <f>'8.Prod'!$D8*'8.Prod'!$E8*'9.Var.Vente1'!K9</f>
        <v>0</v>
      </c>
      <c r="L9" s="31">
        <f>'8.Prod'!$D8*'8.Prod'!$E8*'9.Var.Vente1'!L9</f>
        <v>0</v>
      </c>
      <c r="M9" s="31">
        <f>'8.Prod'!$D8*'8.Prod'!$E8*'9.Var.Vente1'!M9</f>
        <v>0</v>
      </c>
      <c r="N9" s="31">
        <f>'8.Prod'!$D8*'8.Prod'!$E8*'9.Var.Vente1'!N9</f>
        <v>0</v>
      </c>
      <c r="O9" s="31">
        <f>'8.Prod'!$D8*'8.Prod'!$E8*'9.Var.Vente1'!O9</f>
        <v>0</v>
      </c>
      <c r="P9" s="31">
        <f>'8.Prod'!$D8*'8.Prod'!$E8*'9.Var.Vente1'!P9</f>
        <v>0</v>
      </c>
      <c r="Q9" s="31">
        <f>'8.Prod'!$D8*'8.Prod'!$E8*'9.Var.Vente1'!Q9</f>
        <v>0</v>
      </c>
      <c r="R9" s="31">
        <f>'8.Prod'!$D8*'8.Prod'!$E8*'9.Var.Vente1'!R9</f>
        <v>0</v>
      </c>
    </row>
    <row r="10" spans="1:18">
      <c r="A10" s="112" t="str">
        <f>'8.Prod'!A9</f>
        <v>Vente de services</v>
      </c>
      <c r="B10" s="28">
        <f>'8.Prod'!B9</f>
        <v>0</v>
      </c>
      <c r="C10" s="28" t="str">
        <f>'8.Prod'!C9</f>
        <v>VEN3</v>
      </c>
      <c r="D10" s="31">
        <f>'8.Prod'!$D9*'8.Prod'!$E9*'9.Var.Vente1'!D10</f>
        <v>0</v>
      </c>
      <c r="E10" s="31">
        <f>'8.Prod'!$D9*'8.Prod'!$E9*'9.Var.Vente1'!E10</f>
        <v>0</v>
      </c>
      <c r="F10" s="31">
        <f>'8.Prod'!$D9*'8.Prod'!$E9*'9.Var.Vente1'!F10</f>
        <v>0</v>
      </c>
      <c r="G10" s="31">
        <f>'8.Prod'!$D9*'8.Prod'!$E9*'9.Var.Vente1'!G10</f>
        <v>0</v>
      </c>
      <c r="H10" s="31">
        <f>'8.Prod'!$D9*'8.Prod'!$E9*'9.Var.Vente1'!H10</f>
        <v>0</v>
      </c>
      <c r="I10" s="31">
        <f>'8.Prod'!$D9*'8.Prod'!$E9*'9.Var.Vente1'!I10</f>
        <v>0</v>
      </c>
      <c r="J10" s="31">
        <f>'8.Prod'!$D9*'8.Prod'!$E9*'9.Var.Vente1'!J10</f>
        <v>0</v>
      </c>
      <c r="K10" s="31">
        <f>'8.Prod'!$D9*'8.Prod'!$E9*'9.Var.Vente1'!K10</f>
        <v>0</v>
      </c>
      <c r="L10" s="31">
        <f>'8.Prod'!$D9*'8.Prod'!$E9*'9.Var.Vente1'!L10</f>
        <v>0</v>
      </c>
      <c r="M10" s="31">
        <f>'8.Prod'!$D9*'8.Prod'!$E9*'9.Var.Vente1'!M10</f>
        <v>0</v>
      </c>
      <c r="N10" s="31">
        <f>'8.Prod'!$D9*'8.Prod'!$E9*'9.Var.Vente1'!N10</f>
        <v>0</v>
      </c>
      <c r="O10" s="31">
        <f>'8.Prod'!$D9*'8.Prod'!$E9*'9.Var.Vente1'!O10</f>
        <v>0</v>
      </c>
      <c r="P10" s="31">
        <f>'8.Prod'!$D9*'8.Prod'!$E9*'9.Var.Vente1'!P10</f>
        <v>0</v>
      </c>
      <c r="Q10" s="31">
        <f>'8.Prod'!$D9*'8.Prod'!$E9*'9.Var.Vente1'!Q10</f>
        <v>0</v>
      </c>
      <c r="R10" s="31">
        <f>'8.Prod'!$D9*'8.Prod'!$E9*'9.Var.Vente1'!R10</f>
        <v>0</v>
      </c>
    </row>
    <row r="11" spans="1:18">
      <c r="A11" s="36" t="str">
        <f>'8.Prod'!A10</f>
        <v>Ventes d'autre produits</v>
      </c>
      <c r="B11" s="28">
        <f>'8.Prod'!B10</f>
        <v>0</v>
      </c>
      <c r="C11" s="28" t="str">
        <f>'8.Prod'!C10</f>
        <v>VEN4</v>
      </c>
      <c r="D11" s="31">
        <f>'8.Prod'!$D10*'8.Prod'!$E10*'9.Var.Vente1'!D11</f>
        <v>0</v>
      </c>
      <c r="E11" s="31">
        <f>'8.Prod'!$D10*'8.Prod'!$E10*'9.Var.Vente1'!E11</f>
        <v>0</v>
      </c>
      <c r="F11" s="31">
        <f>'8.Prod'!$D10*'8.Prod'!$E10*'9.Var.Vente1'!F11</f>
        <v>0</v>
      </c>
      <c r="G11" s="31">
        <f>'8.Prod'!$D10*'8.Prod'!$E10*'9.Var.Vente1'!G11</f>
        <v>0</v>
      </c>
      <c r="H11" s="31">
        <f>'8.Prod'!$D10*'8.Prod'!$E10*'9.Var.Vente1'!H11</f>
        <v>0</v>
      </c>
      <c r="I11" s="31">
        <f>'8.Prod'!$D10*'8.Prod'!$E10*'9.Var.Vente1'!I11</f>
        <v>0</v>
      </c>
      <c r="J11" s="31">
        <f>'8.Prod'!$D10*'8.Prod'!$E10*'9.Var.Vente1'!J11</f>
        <v>0</v>
      </c>
      <c r="K11" s="31">
        <f>'8.Prod'!$D10*'8.Prod'!$E10*'9.Var.Vente1'!K11</f>
        <v>0</v>
      </c>
      <c r="L11" s="31">
        <f>'8.Prod'!$D10*'8.Prod'!$E10*'9.Var.Vente1'!L11</f>
        <v>0</v>
      </c>
      <c r="M11" s="31">
        <f>'8.Prod'!$D10*'8.Prod'!$E10*'9.Var.Vente1'!M11</f>
        <v>0</v>
      </c>
      <c r="N11" s="31">
        <f>'8.Prod'!$D10*'8.Prod'!$E10*'9.Var.Vente1'!N11</f>
        <v>0</v>
      </c>
      <c r="O11" s="31">
        <f>'8.Prod'!$D10*'8.Prod'!$E10*'9.Var.Vente1'!O11</f>
        <v>0</v>
      </c>
      <c r="P11" s="31">
        <f>'8.Prod'!$D10*'8.Prod'!$E10*'9.Var.Vente1'!P11</f>
        <v>0</v>
      </c>
      <c r="Q11" s="31">
        <f>'8.Prod'!$D10*'8.Prod'!$E10*'9.Var.Vente1'!Q11</f>
        <v>0</v>
      </c>
      <c r="R11" s="31">
        <f>'8.Prod'!$D10*'8.Prod'!$E10*'9.Var.Vente1'!R11</f>
        <v>0</v>
      </c>
    </row>
    <row r="12" spans="1:18">
      <c r="A12" s="114" t="s">
        <v>96</v>
      </c>
      <c r="B12" s="28"/>
      <c r="C12" s="28"/>
      <c r="D12" s="31" t="e">
        <f>SUM(D5:D11)</f>
        <v>#VALUE!</v>
      </c>
      <c r="E12" s="31" t="e">
        <f t="shared" ref="E12:R12" si="0">SUM(E5:E11)</f>
        <v>#VALUE!</v>
      </c>
      <c r="F12" s="31" t="e">
        <f t="shared" si="0"/>
        <v>#VALUE!</v>
      </c>
      <c r="G12" s="31" t="e">
        <f t="shared" si="0"/>
        <v>#VALUE!</v>
      </c>
      <c r="H12" s="31" t="e">
        <f t="shared" si="0"/>
        <v>#VALUE!</v>
      </c>
      <c r="I12" s="31" t="e">
        <f t="shared" si="0"/>
        <v>#VALUE!</v>
      </c>
      <c r="J12" s="31" t="e">
        <f t="shared" si="0"/>
        <v>#VALUE!</v>
      </c>
      <c r="K12" s="31" t="e">
        <f t="shared" si="0"/>
        <v>#VALUE!</v>
      </c>
      <c r="L12" s="31" t="e">
        <f t="shared" si="0"/>
        <v>#VALUE!</v>
      </c>
      <c r="M12" s="31" t="e">
        <f t="shared" si="0"/>
        <v>#VALUE!</v>
      </c>
      <c r="N12" s="31" t="e">
        <f t="shared" si="0"/>
        <v>#VALUE!</v>
      </c>
      <c r="O12" s="31" t="e">
        <f t="shared" si="0"/>
        <v>#VALUE!</v>
      </c>
      <c r="P12" s="31" t="e">
        <f t="shared" si="0"/>
        <v>#VALUE!</v>
      </c>
      <c r="Q12" s="31" t="e">
        <f t="shared" si="0"/>
        <v>#VALUE!</v>
      </c>
      <c r="R12" s="31" t="e">
        <f t="shared" si="0"/>
        <v>#VALUE!</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456E-63A3-4ACB-A38B-09813F178E42}">
  <sheetPr>
    <tabColor rgb="FFC00000"/>
  </sheetPr>
  <dimension ref="A1:E40"/>
  <sheetViews>
    <sheetView workbookViewId="0">
      <selection activeCell="E4" sqref="E4"/>
    </sheetView>
  </sheetViews>
  <sheetFormatPr baseColWidth="10" defaultColWidth="10.83203125" defaultRowHeight="13"/>
  <cols>
    <col min="1" max="1" width="37.5" style="24" customWidth="1"/>
    <col min="2" max="2" width="26.5" style="24" bestFit="1" customWidth="1"/>
    <col min="3" max="3" width="6.1640625" style="24" bestFit="1" customWidth="1"/>
    <col min="4" max="4" width="8.83203125" style="24" bestFit="1" customWidth="1"/>
    <col min="5" max="5" width="10.1640625" style="24" bestFit="1" customWidth="1"/>
    <col min="6" max="16384" width="10.83203125" style="24"/>
  </cols>
  <sheetData>
    <row r="1" spans="1:5" ht="14">
      <c r="A1" s="124" t="s">
        <v>363</v>
      </c>
    </row>
    <row r="3" spans="1:5">
      <c r="A3" s="27" t="s">
        <v>43</v>
      </c>
      <c r="B3" s="116" t="s">
        <v>156</v>
      </c>
      <c r="C3" s="116" t="s">
        <v>163</v>
      </c>
      <c r="D3" s="116" t="s">
        <v>45</v>
      </c>
      <c r="E3" s="116" t="s">
        <v>3</v>
      </c>
    </row>
    <row r="4" spans="1:5">
      <c r="A4" s="35" t="s">
        <v>46</v>
      </c>
      <c r="B4" s="117" t="s">
        <v>376</v>
      </c>
      <c r="C4" s="117" t="s">
        <v>172</v>
      </c>
      <c r="D4" s="118">
        <v>1</v>
      </c>
      <c r="E4" s="118">
        <v>6000</v>
      </c>
    </row>
    <row r="5" spans="1:5">
      <c r="A5" s="35" t="s">
        <v>46</v>
      </c>
      <c r="B5" s="117" t="s">
        <v>377</v>
      </c>
      <c r="C5" s="117" t="s">
        <v>172</v>
      </c>
      <c r="D5" s="118">
        <v>1</v>
      </c>
      <c r="E5" s="118">
        <v>12000</v>
      </c>
    </row>
    <row r="6" spans="1:5">
      <c r="A6" s="35" t="s">
        <v>46</v>
      </c>
      <c r="B6" s="117" t="s">
        <v>378</v>
      </c>
      <c r="C6" s="117" t="s">
        <v>172</v>
      </c>
      <c r="D6" s="118">
        <v>1</v>
      </c>
      <c r="E6" s="118">
        <v>3000</v>
      </c>
    </row>
    <row r="7" spans="1:5">
      <c r="A7" s="35" t="s">
        <v>46</v>
      </c>
      <c r="B7" s="117" t="s">
        <v>379</v>
      </c>
      <c r="C7" s="117" t="s">
        <v>172</v>
      </c>
      <c r="D7" s="118">
        <v>1</v>
      </c>
      <c r="E7" s="118">
        <v>1500</v>
      </c>
    </row>
    <row r="8" spans="1:5">
      <c r="A8" s="109" t="s">
        <v>47</v>
      </c>
      <c r="B8" s="117"/>
      <c r="C8" s="117" t="s">
        <v>173</v>
      </c>
      <c r="D8" s="118">
        <v>1</v>
      </c>
      <c r="E8" s="118"/>
    </row>
    <row r="9" spans="1:5">
      <c r="A9" s="35" t="s">
        <v>91</v>
      </c>
      <c r="B9" s="117"/>
      <c r="C9" s="117" t="s">
        <v>174</v>
      </c>
      <c r="D9" s="118">
        <v>1</v>
      </c>
      <c r="E9" s="118"/>
    </row>
    <row r="10" spans="1:5">
      <c r="A10" s="109" t="s">
        <v>90</v>
      </c>
      <c r="B10" s="117"/>
      <c r="C10" s="117" t="s">
        <v>175</v>
      </c>
      <c r="D10" s="118">
        <v>1</v>
      </c>
      <c r="E10" s="118"/>
    </row>
    <row r="11" spans="1:5">
      <c r="A11" s="113" t="s">
        <v>95</v>
      </c>
      <c r="B11" s="117"/>
      <c r="C11" s="117" t="s">
        <v>176</v>
      </c>
      <c r="D11" s="118">
        <v>1</v>
      </c>
      <c r="E11" s="118"/>
    </row>
    <row r="12" spans="1:5">
      <c r="A12" s="109" t="s">
        <v>88</v>
      </c>
      <c r="B12" s="117"/>
      <c r="C12" s="117" t="s">
        <v>177</v>
      </c>
      <c r="D12" s="118">
        <v>1</v>
      </c>
      <c r="E12" s="118"/>
    </row>
    <row r="13" spans="1:5">
      <c r="A13" s="35" t="s">
        <v>89</v>
      </c>
      <c r="B13" s="117" t="s">
        <v>380</v>
      </c>
      <c r="C13" s="117" t="s">
        <v>178</v>
      </c>
      <c r="D13" s="118">
        <v>1</v>
      </c>
      <c r="E13" s="118">
        <v>200</v>
      </c>
    </row>
    <row r="14" spans="1:5">
      <c r="A14" s="35" t="s">
        <v>89</v>
      </c>
      <c r="B14" s="117" t="s">
        <v>383</v>
      </c>
      <c r="C14" s="117" t="s">
        <v>178</v>
      </c>
      <c r="D14" s="118">
        <v>1</v>
      </c>
      <c r="E14" s="118">
        <v>400</v>
      </c>
    </row>
    <row r="15" spans="1:5">
      <c r="A15" s="35" t="s">
        <v>89</v>
      </c>
      <c r="B15" s="117" t="s">
        <v>382</v>
      </c>
      <c r="C15" s="117" t="s">
        <v>178</v>
      </c>
      <c r="D15" s="118">
        <v>1</v>
      </c>
      <c r="E15" s="118">
        <v>100</v>
      </c>
    </row>
    <row r="16" spans="1:5">
      <c r="A16" s="35" t="s">
        <v>89</v>
      </c>
      <c r="B16" s="117" t="s">
        <v>381</v>
      </c>
      <c r="C16" s="117" t="s">
        <v>178</v>
      </c>
      <c r="D16" s="118">
        <v>1</v>
      </c>
      <c r="E16" s="118">
        <v>50</v>
      </c>
    </row>
    <row r="17" spans="1:5">
      <c r="A17" s="35" t="s">
        <v>89</v>
      </c>
      <c r="B17" s="117" t="s">
        <v>384</v>
      </c>
      <c r="C17" s="117" t="s">
        <v>178</v>
      </c>
      <c r="D17" s="118">
        <v>1</v>
      </c>
      <c r="E17" s="118">
        <v>400</v>
      </c>
    </row>
    <row r="18" spans="1:5">
      <c r="A18" s="35" t="s">
        <v>89</v>
      </c>
      <c r="B18" s="117" t="s">
        <v>385</v>
      </c>
      <c r="C18" s="117" t="s">
        <v>178</v>
      </c>
      <c r="D18" s="118">
        <v>1</v>
      </c>
      <c r="E18" s="118">
        <v>800</v>
      </c>
    </row>
    <row r="19" spans="1:5">
      <c r="A19" s="35" t="s">
        <v>89</v>
      </c>
      <c r="B19" s="117" t="s">
        <v>386</v>
      </c>
      <c r="C19" s="117" t="s">
        <v>178</v>
      </c>
      <c r="D19" s="118">
        <v>1</v>
      </c>
      <c r="E19" s="118">
        <v>200</v>
      </c>
    </row>
    <row r="20" spans="1:5">
      <c r="A20" s="35" t="s">
        <v>89</v>
      </c>
      <c r="B20" s="117" t="s">
        <v>387</v>
      </c>
      <c r="C20" s="117" t="s">
        <v>178</v>
      </c>
      <c r="D20" s="118">
        <v>1</v>
      </c>
      <c r="E20" s="118">
        <v>100</v>
      </c>
    </row>
    <row r="21" spans="1:5">
      <c r="A21" s="35" t="s">
        <v>89</v>
      </c>
      <c r="B21" s="117" t="s">
        <v>388</v>
      </c>
      <c r="C21" s="117" t="s">
        <v>178</v>
      </c>
      <c r="D21" s="118">
        <v>1</v>
      </c>
      <c r="E21" s="118">
        <v>200</v>
      </c>
    </row>
    <row r="22" spans="1:5">
      <c r="A22" s="35" t="s">
        <v>89</v>
      </c>
      <c r="B22" s="117" t="s">
        <v>389</v>
      </c>
      <c r="C22" s="117" t="s">
        <v>178</v>
      </c>
      <c r="D22" s="118">
        <v>1</v>
      </c>
      <c r="E22" s="118">
        <v>400</v>
      </c>
    </row>
    <row r="23" spans="1:5">
      <c r="A23" s="35" t="s">
        <v>89</v>
      </c>
      <c r="B23" s="117" t="s">
        <v>390</v>
      </c>
      <c r="C23" s="117" t="s">
        <v>178</v>
      </c>
      <c r="D23" s="118">
        <v>1</v>
      </c>
      <c r="E23" s="118">
        <v>100</v>
      </c>
    </row>
    <row r="24" spans="1:5">
      <c r="A24" s="35" t="s">
        <v>89</v>
      </c>
      <c r="B24" s="117" t="s">
        <v>391</v>
      </c>
      <c r="C24" s="117" t="s">
        <v>178</v>
      </c>
      <c r="D24" s="118">
        <v>1</v>
      </c>
      <c r="E24" s="118">
        <v>50</v>
      </c>
    </row>
    <row r="25" spans="1:5">
      <c r="A25" s="113" t="s">
        <v>94</v>
      </c>
      <c r="B25" s="117"/>
      <c r="C25" s="117" t="s">
        <v>179</v>
      </c>
      <c r="D25" s="118">
        <v>1</v>
      </c>
      <c r="E25" s="118"/>
    </row>
    <row r="26" spans="1:5">
      <c r="A26" s="37" t="s">
        <v>49</v>
      </c>
      <c r="B26" s="117" t="s">
        <v>392</v>
      </c>
      <c r="C26" s="117" t="s">
        <v>180</v>
      </c>
      <c r="D26" s="118">
        <v>1</v>
      </c>
      <c r="E26" s="121">
        <v>0.22</v>
      </c>
    </row>
    <row r="27" spans="1:5">
      <c r="A27" s="37" t="s">
        <v>58</v>
      </c>
      <c r="B27" s="117" t="s">
        <v>393</v>
      </c>
      <c r="C27" s="117" t="s">
        <v>181</v>
      </c>
      <c r="D27" s="118">
        <v>1</v>
      </c>
      <c r="E27" s="121">
        <v>4.7999999999999996E-3</v>
      </c>
    </row>
    <row r="28" spans="1:5">
      <c r="A28" s="37" t="s">
        <v>81</v>
      </c>
      <c r="B28" s="117" t="s">
        <v>394</v>
      </c>
      <c r="C28" s="117" t="s">
        <v>182</v>
      </c>
      <c r="D28" s="118">
        <v>1</v>
      </c>
      <c r="E28" s="121">
        <v>3.0700000000000002E-2</v>
      </c>
    </row>
    <row r="29" spans="1:5">
      <c r="A29" s="26" t="s">
        <v>59</v>
      </c>
      <c r="B29" s="117" t="s">
        <v>395</v>
      </c>
      <c r="C29" s="117" t="s">
        <v>183</v>
      </c>
      <c r="D29" s="118">
        <v>1</v>
      </c>
      <c r="E29" s="118">
        <v>1900000</v>
      </c>
    </row>
    <row r="30" spans="1:5">
      <c r="A30" s="26" t="s">
        <v>48</v>
      </c>
      <c r="B30" s="117" t="s">
        <v>396</v>
      </c>
      <c r="C30" s="117" t="s">
        <v>184</v>
      </c>
      <c r="D30" s="118">
        <v>1</v>
      </c>
      <c r="E30" s="118">
        <f>15000+10000</f>
        <v>25000</v>
      </c>
    </row>
    <row r="31" spans="1:5">
      <c r="A31" s="26" t="s">
        <v>50</v>
      </c>
      <c r="B31" s="117" t="s">
        <v>397</v>
      </c>
      <c r="C31" s="117" t="s">
        <v>185</v>
      </c>
      <c r="D31" s="118">
        <v>1</v>
      </c>
      <c r="E31" s="118">
        <v>82500</v>
      </c>
    </row>
    <row r="32" spans="1:5">
      <c r="A32" s="26" t="s">
        <v>51</v>
      </c>
      <c r="B32" s="117" t="s">
        <v>398</v>
      </c>
      <c r="C32" s="117" t="s">
        <v>186</v>
      </c>
      <c r="D32" s="118">
        <v>1</v>
      </c>
      <c r="E32" s="118">
        <v>50000</v>
      </c>
    </row>
    <row r="33" spans="1:5">
      <c r="A33" s="26" t="s">
        <v>52</v>
      </c>
      <c r="B33" s="117" t="s">
        <v>399</v>
      </c>
      <c r="C33" s="117" t="s">
        <v>187</v>
      </c>
      <c r="D33" s="118">
        <v>1</v>
      </c>
      <c r="E33" s="118">
        <f>50000</f>
        <v>50000</v>
      </c>
    </row>
    <row r="34" spans="1:5">
      <c r="A34" s="26" t="s">
        <v>53</v>
      </c>
      <c r="B34" s="117"/>
      <c r="C34" s="117" t="s">
        <v>188</v>
      </c>
      <c r="D34" s="118">
        <v>1</v>
      </c>
      <c r="E34" s="118"/>
    </row>
    <row r="35" spans="1:5">
      <c r="A35" s="26" t="s">
        <v>54</v>
      </c>
      <c r="B35" s="117" t="s">
        <v>400</v>
      </c>
      <c r="C35" s="117" t="s">
        <v>189</v>
      </c>
      <c r="D35" s="118">
        <v>1</v>
      </c>
      <c r="E35" s="118">
        <v>250000</v>
      </c>
    </row>
    <row r="36" spans="1:5">
      <c r="A36" s="26" t="s">
        <v>55</v>
      </c>
      <c r="B36" s="117" t="s">
        <v>401</v>
      </c>
      <c r="C36" s="117" t="s">
        <v>190</v>
      </c>
      <c r="D36" s="118">
        <v>1</v>
      </c>
      <c r="E36" s="118">
        <v>12000</v>
      </c>
    </row>
    <row r="37" spans="1:5">
      <c r="A37" s="26" t="s">
        <v>56</v>
      </c>
      <c r="B37" s="117" t="s">
        <v>402</v>
      </c>
      <c r="C37" s="117" t="s">
        <v>191</v>
      </c>
      <c r="D37" s="118">
        <v>1</v>
      </c>
      <c r="E37" s="118">
        <f>370000+10000</f>
        <v>380000</v>
      </c>
    </row>
    <row r="38" spans="1:5">
      <c r="A38" s="26" t="s">
        <v>57</v>
      </c>
      <c r="B38" s="117"/>
      <c r="C38" s="117" t="s">
        <v>192</v>
      </c>
      <c r="D38" s="118">
        <v>1</v>
      </c>
      <c r="E38" s="118"/>
    </row>
    <row r="39" spans="1:5">
      <c r="A39" s="26" t="s">
        <v>100</v>
      </c>
      <c r="B39" s="117"/>
      <c r="C39" s="117" t="s">
        <v>193</v>
      </c>
      <c r="D39" s="118">
        <v>1</v>
      </c>
      <c r="E39" s="122"/>
    </row>
    <row r="40" spans="1:5">
      <c r="A40" s="37" t="s">
        <v>101</v>
      </c>
      <c r="B40" s="117" t="s">
        <v>403</v>
      </c>
      <c r="C40" s="117" t="s">
        <v>194</v>
      </c>
      <c r="D40" s="118">
        <v>1</v>
      </c>
      <c r="E40" s="121">
        <v>3.5099999999999999E-2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66A2-1162-4972-ACF9-BBB379AB2505}">
  <sheetPr>
    <tabColor rgb="FFC00000"/>
  </sheetPr>
  <dimension ref="A1:R30"/>
  <sheetViews>
    <sheetView topLeftCell="G1" workbookViewId="0">
      <selection activeCell="P4" sqref="P4:P7"/>
    </sheetView>
  </sheetViews>
  <sheetFormatPr baseColWidth="10" defaultColWidth="10.83203125" defaultRowHeight="13"/>
  <cols>
    <col min="1" max="1" width="29.83203125" style="24" bestFit="1" customWidth="1"/>
    <col min="2" max="2" width="27.5" style="24" customWidth="1"/>
    <col min="3" max="3" width="7" style="24" customWidth="1"/>
    <col min="4" max="4" width="9.1640625" style="24" bestFit="1" customWidth="1"/>
    <col min="5" max="14" width="8.83203125" style="24" bestFit="1" customWidth="1"/>
    <col min="15" max="15" width="10.1640625" style="24" bestFit="1" customWidth="1"/>
    <col min="16" max="18" width="12.5" style="24" bestFit="1" customWidth="1"/>
    <col min="19" max="16384" width="10.83203125" style="24"/>
  </cols>
  <sheetData>
    <row r="1" spans="1:18" ht="14">
      <c r="A1" s="124" t="s">
        <v>355</v>
      </c>
    </row>
    <row r="2" spans="1:18">
      <c r="D2" s="30" t="s">
        <v>87</v>
      </c>
      <c r="E2" s="30"/>
      <c r="F2" s="30"/>
      <c r="G2" s="30"/>
      <c r="H2" s="30"/>
      <c r="I2" s="30"/>
      <c r="J2" s="30"/>
      <c r="K2" s="30"/>
      <c r="L2" s="30"/>
      <c r="M2" s="30"/>
      <c r="N2" s="30"/>
      <c r="O2" s="30"/>
      <c r="P2" s="32" t="s">
        <v>86</v>
      </c>
      <c r="Q2" s="32"/>
      <c r="R2" s="32"/>
    </row>
    <row r="3" spans="1:18">
      <c r="A3" s="27" t="s">
        <v>43</v>
      </c>
      <c r="B3" s="33" t="s">
        <v>44</v>
      </c>
      <c r="C3" s="33" t="s">
        <v>163</v>
      </c>
      <c r="D3" s="33">
        <v>1</v>
      </c>
      <c r="E3" s="33">
        <v>2</v>
      </c>
      <c r="F3" s="33">
        <v>3</v>
      </c>
      <c r="G3" s="33">
        <v>4</v>
      </c>
      <c r="H3" s="33">
        <v>5</v>
      </c>
      <c r="I3" s="33">
        <v>6</v>
      </c>
      <c r="J3" s="33">
        <v>7</v>
      </c>
      <c r="K3" s="33">
        <v>8</v>
      </c>
      <c r="L3" s="33">
        <v>9</v>
      </c>
      <c r="M3" s="33">
        <v>10</v>
      </c>
      <c r="N3" s="33">
        <v>11</v>
      </c>
      <c r="O3" s="33">
        <v>12</v>
      </c>
      <c r="P3" s="40" t="s">
        <v>68</v>
      </c>
      <c r="Q3" s="40" t="s">
        <v>69</v>
      </c>
      <c r="R3" s="40" t="s">
        <v>70</v>
      </c>
    </row>
    <row r="4" spans="1:18">
      <c r="A4" s="35" t="str">
        <f>'11.Charges'!A4</f>
        <v>Achat de marchandises</v>
      </c>
      <c r="B4" s="31" t="str">
        <f>'11.Charges'!B4</f>
        <v>Achat de Tenue de luxe Homme</v>
      </c>
      <c r="C4" s="31" t="str">
        <f>'11.Charges'!C4</f>
        <v>AMA1</v>
      </c>
      <c r="D4" s="108">
        <f>'11.Charges'!$D4*'11.Charges'!$E4*'9.Var.Vente1'!D$5</f>
        <v>360000</v>
      </c>
      <c r="E4" s="31">
        <f>'11.Charges'!$D4*'11.Charges'!$E4*'9.Var.Vente1'!E$5</f>
        <v>360000</v>
      </c>
      <c r="F4" s="31">
        <f>'11.Charges'!$D4*'11.Charges'!$E4*'9.Var.Vente1'!F$5</f>
        <v>360000</v>
      </c>
      <c r="G4" s="31">
        <f>'11.Charges'!$D4*'11.Charges'!$E4*'9.Var.Vente1'!G$5</f>
        <v>360000</v>
      </c>
      <c r="H4" s="31">
        <f>'11.Charges'!$D4*'11.Charges'!$E4*'9.Var.Vente1'!H$5</f>
        <v>360000</v>
      </c>
      <c r="I4" s="31">
        <f>'11.Charges'!$D4*'11.Charges'!$E4*'9.Var.Vente1'!I$5</f>
        <v>360000</v>
      </c>
      <c r="J4" s="31">
        <f>'11.Charges'!$D4*'11.Charges'!$E4*'9.Var.Vente1'!J$5</f>
        <v>360000</v>
      </c>
      <c r="K4" s="31">
        <f>'11.Charges'!$D4*'11.Charges'!$E4*'9.Var.Vente1'!K$5</f>
        <v>360000</v>
      </c>
      <c r="L4" s="31">
        <f>'11.Charges'!$D4*'11.Charges'!$E4*'9.Var.Vente1'!L$5</f>
        <v>360000</v>
      </c>
      <c r="M4" s="31">
        <f>'11.Charges'!$D4*'11.Charges'!$E4*'9.Var.Vente1'!M$5</f>
        <v>360000</v>
      </c>
      <c r="N4" s="31">
        <f>'11.Charges'!$D4*'11.Charges'!$E4*'9.Var.Vente1'!N$5</f>
        <v>360000</v>
      </c>
      <c r="O4" s="31">
        <f>'11.Charges'!$D4*'11.Charges'!$E4*'9.Var.Vente1'!O$5</f>
        <v>360000</v>
      </c>
      <c r="P4" s="31">
        <f>'11.Charges'!$D4*'11.Charges'!$E4*'9.Var.Vente1'!P$5</f>
        <v>4320000</v>
      </c>
      <c r="Q4" s="31">
        <f>'11.Charges'!$D4*'11.Charges'!$E4*'9.Var.Vente1'!Q$5</f>
        <v>4752000</v>
      </c>
      <c r="R4" s="31">
        <f>'11.Charges'!$D4*'11.Charges'!$E4*'9.Var.Vente1'!R$5</f>
        <v>5227200</v>
      </c>
    </row>
    <row r="5" spans="1:18">
      <c r="A5" s="35" t="str">
        <f>'11.Charges'!A5</f>
        <v>Achat de marchandises</v>
      </c>
      <c r="B5" s="31" t="str">
        <f>'11.Charges'!B5</f>
        <v>Achat de Tenue de luxe Femme</v>
      </c>
      <c r="C5" s="31" t="str">
        <f>'11.Charges'!C5</f>
        <v>AMA1</v>
      </c>
      <c r="D5" s="108">
        <f>'11.Charges'!$D5*'11.Charges'!$E5*'9.Var.Vente1'!D$5</f>
        <v>720000</v>
      </c>
      <c r="E5" s="31">
        <f>'11.Charges'!$D5*'11.Charges'!$E5*'9.Var.Vente1'!E$5</f>
        <v>720000</v>
      </c>
      <c r="F5" s="31">
        <f>'11.Charges'!$D5*'11.Charges'!$E5*'9.Var.Vente1'!F$5</f>
        <v>720000</v>
      </c>
      <c r="G5" s="31">
        <f>'11.Charges'!$D5*'11.Charges'!$E5*'9.Var.Vente1'!G$5</f>
        <v>720000</v>
      </c>
      <c r="H5" s="31">
        <f>'11.Charges'!$D5*'11.Charges'!$E5*'9.Var.Vente1'!H$5</f>
        <v>720000</v>
      </c>
      <c r="I5" s="31">
        <f>'11.Charges'!$D5*'11.Charges'!$E5*'9.Var.Vente1'!I$5</f>
        <v>720000</v>
      </c>
      <c r="J5" s="31">
        <f>'11.Charges'!$D5*'11.Charges'!$E5*'9.Var.Vente1'!J$5</f>
        <v>720000</v>
      </c>
      <c r="K5" s="31">
        <f>'11.Charges'!$D5*'11.Charges'!$E5*'9.Var.Vente1'!K$5</f>
        <v>720000</v>
      </c>
      <c r="L5" s="31">
        <f>'11.Charges'!$D5*'11.Charges'!$E5*'9.Var.Vente1'!L$5</f>
        <v>720000</v>
      </c>
      <c r="M5" s="31">
        <f>'11.Charges'!$D5*'11.Charges'!$E5*'9.Var.Vente1'!M$5</f>
        <v>720000</v>
      </c>
      <c r="N5" s="31">
        <f>'11.Charges'!$D5*'11.Charges'!$E5*'9.Var.Vente1'!N$5</f>
        <v>720000</v>
      </c>
      <c r="O5" s="31">
        <f>'11.Charges'!$D5*'11.Charges'!$E5*'9.Var.Vente1'!O$5</f>
        <v>720000</v>
      </c>
      <c r="P5" s="31">
        <f>'11.Charges'!$D5*'11.Charges'!$E5*'9.Var.Vente1'!P$5</f>
        <v>8640000</v>
      </c>
      <c r="Q5" s="31">
        <f>'11.Charges'!$D5*'11.Charges'!$E5*'9.Var.Vente1'!Q$5</f>
        <v>9504000</v>
      </c>
      <c r="R5" s="31">
        <f>'11.Charges'!$D5*'11.Charges'!$E5*'9.Var.Vente1'!R$5</f>
        <v>10454400</v>
      </c>
    </row>
    <row r="6" spans="1:18">
      <c r="A6" s="35" t="str">
        <f>'11.Charges'!A6</f>
        <v>Achat de marchandises</v>
      </c>
      <c r="B6" s="31" t="str">
        <f>'11.Charges'!B6</f>
        <v>Achat de Prêt-à-porter homme</v>
      </c>
      <c r="C6" s="31" t="str">
        <f>'11.Charges'!C6</f>
        <v>AMA1</v>
      </c>
      <c r="D6" s="108">
        <f>'11.Charges'!$D6*'11.Charges'!$E6*'9.Var.Vente1'!D$5</f>
        <v>180000</v>
      </c>
      <c r="E6" s="31">
        <f>'11.Charges'!$D6*'11.Charges'!$E6*'9.Var.Vente1'!E$5</f>
        <v>180000</v>
      </c>
      <c r="F6" s="31">
        <f>'11.Charges'!$D6*'11.Charges'!$E6*'9.Var.Vente1'!F$5</f>
        <v>180000</v>
      </c>
      <c r="G6" s="31">
        <f>'11.Charges'!$D6*'11.Charges'!$E6*'9.Var.Vente1'!G$5</f>
        <v>180000</v>
      </c>
      <c r="H6" s="31">
        <f>'11.Charges'!$D6*'11.Charges'!$E6*'9.Var.Vente1'!H$5</f>
        <v>180000</v>
      </c>
      <c r="I6" s="31">
        <f>'11.Charges'!$D6*'11.Charges'!$E6*'9.Var.Vente1'!I$5</f>
        <v>180000</v>
      </c>
      <c r="J6" s="31">
        <f>'11.Charges'!$D6*'11.Charges'!$E6*'9.Var.Vente1'!J$5</f>
        <v>180000</v>
      </c>
      <c r="K6" s="31">
        <f>'11.Charges'!$D6*'11.Charges'!$E6*'9.Var.Vente1'!K$5</f>
        <v>180000</v>
      </c>
      <c r="L6" s="31">
        <f>'11.Charges'!$D6*'11.Charges'!$E6*'9.Var.Vente1'!L$5</f>
        <v>180000</v>
      </c>
      <c r="M6" s="31">
        <f>'11.Charges'!$D6*'11.Charges'!$E6*'9.Var.Vente1'!M$5</f>
        <v>180000</v>
      </c>
      <c r="N6" s="31">
        <f>'11.Charges'!$D6*'11.Charges'!$E6*'9.Var.Vente1'!N$5</f>
        <v>180000</v>
      </c>
      <c r="O6" s="31">
        <f>'11.Charges'!$D6*'11.Charges'!$E6*'9.Var.Vente1'!O$5</f>
        <v>180000</v>
      </c>
      <c r="P6" s="31">
        <f>'11.Charges'!$D6*'11.Charges'!$E6*'9.Var.Vente1'!P$5</f>
        <v>2160000</v>
      </c>
      <c r="Q6" s="31">
        <f>'11.Charges'!$D6*'11.Charges'!$E6*'9.Var.Vente1'!Q$5</f>
        <v>2376000</v>
      </c>
      <c r="R6" s="31">
        <f>'11.Charges'!$D6*'11.Charges'!$E6*'9.Var.Vente1'!R$5</f>
        <v>2613600</v>
      </c>
    </row>
    <row r="7" spans="1:18">
      <c r="A7" s="35" t="str">
        <f>'11.Charges'!A7</f>
        <v>Achat de marchandises</v>
      </c>
      <c r="B7" s="31" t="str">
        <f>'11.Charges'!B7</f>
        <v>Achat de Prêt-à-porter femme</v>
      </c>
      <c r="C7" s="31" t="str">
        <f>'11.Charges'!C7</f>
        <v>AMA1</v>
      </c>
      <c r="D7" s="108">
        <f>'11.Charges'!$D7*'11.Charges'!$E7*'9.Var.Vente1'!D$5</f>
        <v>90000</v>
      </c>
      <c r="E7" s="31">
        <f>'11.Charges'!$D7*'11.Charges'!$E7*'9.Var.Vente1'!E$5</f>
        <v>90000</v>
      </c>
      <c r="F7" s="31">
        <f>'11.Charges'!$D7*'11.Charges'!$E7*'9.Var.Vente1'!F$5</f>
        <v>90000</v>
      </c>
      <c r="G7" s="31">
        <f>'11.Charges'!$D7*'11.Charges'!$E7*'9.Var.Vente1'!G$5</f>
        <v>90000</v>
      </c>
      <c r="H7" s="31">
        <f>'11.Charges'!$D7*'11.Charges'!$E7*'9.Var.Vente1'!H$5</f>
        <v>90000</v>
      </c>
      <c r="I7" s="31">
        <f>'11.Charges'!$D7*'11.Charges'!$E7*'9.Var.Vente1'!I$5</f>
        <v>90000</v>
      </c>
      <c r="J7" s="31">
        <f>'11.Charges'!$D7*'11.Charges'!$E7*'9.Var.Vente1'!J$5</f>
        <v>90000</v>
      </c>
      <c r="K7" s="31">
        <f>'11.Charges'!$D7*'11.Charges'!$E7*'9.Var.Vente1'!K$5</f>
        <v>90000</v>
      </c>
      <c r="L7" s="31">
        <f>'11.Charges'!$D7*'11.Charges'!$E7*'9.Var.Vente1'!L$5</f>
        <v>90000</v>
      </c>
      <c r="M7" s="31">
        <f>'11.Charges'!$D7*'11.Charges'!$E7*'9.Var.Vente1'!M$5</f>
        <v>90000</v>
      </c>
      <c r="N7" s="31">
        <f>'11.Charges'!$D7*'11.Charges'!$E7*'9.Var.Vente1'!N$5</f>
        <v>90000</v>
      </c>
      <c r="O7" s="31">
        <f>'11.Charges'!$D7*'11.Charges'!$E7*'9.Var.Vente1'!O$5</f>
        <v>90000</v>
      </c>
      <c r="P7" s="31">
        <f>'11.Charges'!$D7*'11.Charges'!$E7*'9.Var.Vente1'!P$5</f>
        <v>1080000</v>
      </c>
      <c r="Q7" s="31">
        <f>'11.Charges'!$D7*'11.Charges'!$E7*'9.Var.Vente1'!Q$5</f>
        <v>1188000</v>
      </c>
      <c r="R7" s="31">
        <f>'11.Charges'!$D7*'11.Charges'!$E7*'9.Var.Vente1'!R$5</f>
        <v>1306800</v>
      </c>
    </row>
    <row r="8" spans="1:18">
      <c r="A8" s="109" t="str">
        <f>'11.Charges'!A8</f>
        <v>Achat de MP</v>
      </c>
      <c r="B8" s="31">
        <f>'11.Charges'!B8</f>
        <v>0</v>
      </c>
      <c r="C8" s="31" t="str">
        <f>'11.Charges'!C8</f>
        <v>AMA2</v>
      </c>
      <c r="D8" s="109">
        <f>'11.Charges'!$E$8*'11.Charges'!$D$8*'9.Var.Vente1'!D9</f>
        <v>0</v>
      </c>
      <c r="E8" s="31">
        <f>'11.Charges'!$E$8*'11.Charges'!$D$8*'9.Var.Vente1'!E9</f>
        <v>0</v>
      </c>
      <c r="F8" s="31">
        <f>'11.Charges'!$E$8*'11.Charges'!$D$8*'9.Var.Vente1'!F9</f>
        <v>0</v>
      </c>
      <c r="G8" s="31">
        <f>'11.Charges'!$E$8*'11.Charges'!$D$8*'9.Var.Vente1'!G9</f>
        <v>0</v>
      </c>
      <c r="H8" s="31">
        <f>'11.Charges'!$E$8*'11.Charges'!$D$8*'9.Var.Vente1'!H9</f>
        <v>0</v>
      </c>
      <c r="I8" s="31">
        <f>'11.Charges'!$E$8*'11.Charges'!$D$8*'9.Var.Vente1'!I9</f>
        <v>0</v>
      </c>
      <c r="J8" s="31">
        <f>'11.Charges'!$E$8*'11.Charges'!$D$8*'9.Var.Vente1'!J9</f>
        <v>0</v>
      </c>
      <c r="K8" s="31">
        <f>'11.Charges'!$E$8*'11.Charges'!$D$8*'9.Var.Vente1'!K9</f>
        <v>0</v>
      </c>
      <c r="L8" s="31">
        <f>'11.Charges'!$E$8*'11.Charges'!$D$8*'9.Var.Vente1'!L9</f>
        <v>0</v>
      </c>
      <c r="M8" s="31">
        <f>'11.Charges'!$E$8*'11.Charges'!$D$8*'9.Var.Vente1'!M9</f>
        <v>0</v>
      </c>
      <c r="N8" s="31">
        <f>'11.Charges'!$E$8*'11.Charges'!$D$8*'9.Var.Vente1'!N9</f>
        <v>0</v>
      </c>
      <c r="O8" s="31">
        <f>'11.Charges'!$E$8*'11.Charges'!$D$8*'9.Var.Vente1'!O9</f>
        <v>0</v>
      </c>
      <c r="P8" s="31">
        <f>'11.Charges'!$D8*'11.Charges'!$E8*'9.Var.Vente1'!P$5</f>
        <v>0</v>
      </c>
      <c r="Q8" s="31">
        <f>'11.Charges'!$D8*'11.Charges'!$E8*'9.Var.Vente1'!Q$5</f>
        <v>0</v>
      </c>
      <c r="R8" s="31">
        <f>'11.Charges'!$D8*'11.Charges'!$E8*'9.Var.Vente1'!R$5</f>
        <v>0</v>
      </c>
    </row>
    <row r="9" spans="1:18">
      <c r="A9" s="35" t="str">
        <f>'11.Charges'!A9</f>
        <v>Main d'œuvre directe vente</v>
      </c>
      <c r="B9" s="31">
        <f>'11.Charges'!B9</f>
        <v>0</v>
      </c>
      <c r="C9" s="31" t="str">
        <f>'11.Charges'!C9</f>
        <v>MOD1</v>
      </c>
      <c r="D9" s="108">
        <f>'11.Charges'!$E$9*'11.Charges'!$D$9*'9.Var.Vente1'!D5</f>
        <v>0</v>
      </c>
      <c r="E9" s="31">
        <f>'11.Charges'!$E$9*'11.Charges'!$D$9*'9.Var.Vente1'!E5</f>
        <v>0</v>
      </c>
      <c r="F9" s="31">
        <f>'11.Charges'!$E$9*'11.Charges'!$D$9*'9.Var.Vente1'!F5</f>
        <v>0</v>
      </c>
      <c r="G9" s="31">
        <f>'11.Charges'!$E$9*'11.Charges'!$D$9*'9.Var.Vente1'!G5</f>
        <v>0</v>
      </c>
      <c r="H9" s="31">
        <f>'11.Charges'!$E$9*'11.Charges'!$D$9*'9.Var.Vente1'!H5</f>
        <v>0</v>
      </c>
      <c r="I9" s="31">
        <f>'11.Charges'!$E$9*'11.Charges'!$D$9*'9.Var.Vente1'!I5</f>
        <v>0</v>
      </c>
      <c r="J9" s="31">
        <f>'11.Charges'!$E$9*'11.Charges'!$D$9*'9.Var.Vente1'!J5</f>
        <v>0</v>
      </c>
      <c r="K9" s="31">
        <f>'11.Charges'!$E$9*'11.Charges'!$D$9*'9.Var.Vente1'!K5</f>
        <v>0</v>
      </c>
      <c r="L9" s="31">
        <f>'11.Charges'!$E$9*'11.Charges'!$D$9*'9.Var.Vente1'!L5</f>
        <v>0</v>
      </c>
      <c r="M9" s="31">
        <f>'11.Charges'!$E$9*'11.Charges'!$D$9*'9.Var.Vente1'!M5</f>
        <v>0</v>
      </c>
      <c r="N9" s="31">
        <f>'11.Charges'!$E$9*'11.Charges'!$D$9*'9.Var.Vente1'!N5</f>
        <v>0</v>
      </c>
      <c r="O9" s="31">
        <f>'11.Charges'!$E$9*'11.Charges'!$D$9*'9.Var.Vente1'!O5</f>
        <v>0</v>
      </c>
      <c r="P9" s="31">
        <f>'11.Charges'!$D9*'11.Charges'!$E9*'9.Var.Vente1'!P$5</f>
        <v>0</v>
      </c>
      <c r="Q9" s="31">
        <f>'11.Charges'!$D9*'11.Charges'!$E9*'9.Var.Vente1'!Q$5</f>
        <v>0</v>
      </c>
      <c r="R9" s="31">
        <f>'11.Charges'!$D9*'11.Charges'!$E9*'9.Var.Vente1'!R$5</f>
        <v>0</v>
      </c>
    </row>
    <row r="10" spans="1:18">
      <c r="A10" s="109" t="str">
        <f>'11.Charges'!A10</f>
        <v>Main d'œuvre directe transformation</v>
      </c>
      <c r="B10" s="31">
        <f>'11.Charges'!B10</f>
        <v>0</v>
      </c>
      <c r="C10" s="31" t="str">
        <f>'11.Charges'!C10</f>
        <v>MOD2</v>
      </c>
      <c r="D10" s="109">
        <f>'11.Charges'!$E$10*'11.Charges'!$D$10*'9.Var.Vente1'!D9</f>
        <v>0</v>
      </c>
      <c r="E10" s="31">
        <f>'11.Charges'!$E$10*'11.Charges'!$D$10*'9.Var.Vente1'!E9</f>
        <v>0</v>
      </c>
      <c r="F10" s="31">
        <f>'11.Charges'!$E$10*'11.Charges'!$D$10*'9.Var.Vente1'!F9</f>
        <v>0</v>
      </c>
      <c r="G10" s="31">
        <f>'11.Charges'!$E$10*'11.Charges'!$D$10*'9.Var.Vente1'!G9</f>
        <v>0</v>
      </c>
      <c r="H10" s="31">
        <f>'11.Charges'!$E$10*'11.Charges'!$D$10*'9.Var.Vente1'!H9</f>
        <v>0</v>
      </c>
      <c r="I10" s="31">
        <f>'11.Charges'!$E$10*'11.Charges'!$D$10*'9.Var.Vente1'!I9</f>
        <v>0</v>
      </c>
      <c r="J10" s="31">
        <f>'11.Charges'!$E$10*'11.Charges'!$D$10*'9.Var.Vente1'!J9</f>
        <v>0</v>
      </c>
      <c r="K10" s="31">
        <f>'11.Charges'!$E$10*'11.Charges'!$D$10*'9.Var.Vente1'!K9</f>
        <v>0</v>
      </c>
      <c r="L10" s="31">
        <f>'11.Charges'!$E$10*'11.Charges'!$D$10*'9.Var.Vente1'!L9</f>
        <v>0</v>
      </c>
      <c r="M10" s="31">
        <f>'11.Charges'!$E$10*'11.Charges'!$D$10*'9.Var.Vente1'!M9</f>
        <v>0</v>
      </c>
      <c r="N10" s="31">
        <f>'11.Charges'!$E$10*'11.Charges'!$D$10*'9.Var.Vente1'!N9</f>
        <v>0</v>
      </c>
      <c r="O10" s="31">
        <f>'11.Charges'!$E$10*'11.Charges'!$D$10*'9.Var.Vente1'!O9</f>
        <v>0</v>
      </c>
      <c r="P10" s="31">
        <f>'11.Charges'!$D10*'11.Charges'!$E10*'9.Var.Vente1'!P$5</f>
        <v>0</v>
      </c>
      <c r="Q10" s="31">
        <f>'11.Charges'!$D10*'11.Charges'!$E10*'9.Var.Vente1'!Q$5</f>
        <v>0</v>
      </c>
      <c r="R10" s="31">
        <f>'11.Charges'!$D10*'11.Charges'!$E10*'9.Var.Vente1'!R$5</f>
        <v>0</v>
      </c>
    </row>
    <row r="11" spans="1:18">
      <c r="A11" s="113" t="str">
        <f>'11.Charges'!A11</f>
        <v>Main d'œuvre directe vente de services</v>
      </c>
      <c r="B11" s="31">
        <f>'11.Charges'!B11</f>
        <v>0</v>
      </c>
      <c r="C11" s="31" t="str">
        <f>'11.Charges'!C11</f>
        <v>MOD3</v>
      </c>
      <c r="D11" s="110">
        <f>'11.Charges'!$D$11*'11.Charges'!$E$11*'9.Var.Vente1'!D10</f>
        <v>0</v>
      </c>
      <c r="E11" s="31">
        <f>'11.Charges'!$D$11*'11.Charges'!$E$11*'9.Var.Vente1'!E10</f>
        <v>0</v>
      </c>
      <c r="F11" s="31">
        <f>'11.Charges'!$D$11*'11.Charges'!$E$11*'9.Var.Vente1'!F10</f>
        <v>0</v>
      </c>
      <c r="G11" s="31">
        <f>'11.Charges'!$D$11*'11.Charges'!$E$11*'9.Var.Vente1'!G10</f>
        <v>0</v>
      </c>
      <c r="H11" s="31">
        <f>'11.Charges'!$D$11*'11.Charges'!$E$11*'9.Var.Vente1'!H10</f>
        <v>0</v>
      </c>
      <c r="I11" s="31">
        <f>'11.Charges'!$D$11*'11.Charges'!$E$11*'9.Var.Vente1'!I10</f>
        <v>0</v>
      </c>
      <c r="J11" s="31">
        <f>'11.Charges'!$D$11*'11.Charges'!$E$11*'9.Var.Vente1'!J10</f>
        <v>0</v>
      </c>
      <c r="K11" s="31">
        <f>'11.Charges'!$D$11*'11.Charges'!$E$11*'9.Var.Vente1'!K10</f>
        <v>0</v>
      </c>
      <c r="L11" s="31">
        <f>'11.Charges'!$D$11*'11.Charges'!$E$11*'9.Var.Vente1'!L10</f>
        <v>0</v>
      </c>
      <c r="M11" s="31">
        <f>'11.Charges'!$D$11*'11.Charges'!$E$11*'9.Var.Vente1'!M10</f>
        <v>0</v>
      </c>
      <c r="N11" s="31">
        <f>'11.Charges'!$D$11*'11.Charges'!$E$11*'9.Var.Vente1'!N10</f>
        <v>0</v>
      </c>
      <c r="O11" s="31">
        <f>'11.Charges'!$D$11*'11.Charges'!$E$11*'9.Var.Vente1'!O10</f>
        <v>0</v>
      </c>
      <c r="P11" s="31">
        <f>'11.Charges'!$D11*'11.Charges'!$E11*'9.Var.Vente1'!P$5</f>
        <v>0</v>
      </c>
      <c r="Q11" s="31">
        <f>'11.Charges'!$D11*'11.Charges'!$E11*'9.Var.Vente1'!Q$5</f>
        <v>0</v>
      </c>
      <c r="R11" s="31">
        <f>'11.Charges'!$D11*'11.Charges'!$E11*'9.Var.Vente1'!R$5</f>
        <v>0</v>
      </c>
    </row>
    <row r="12" spans="1:18">
      <c r="A12" s="109" t="str">
        <f>'11.Charges'!A12</f>
        <v xml:space="preserve">Frais indirects de transformation </v>
      </c>
      <c r="B12" s="31">
        <f>'11.Charges'!B12</f>
        <v>0</v>
      </c>
      <c r="C12" s="31" t="str">
        <f>'11.Charges'!C12</f>
        <v>FIF1</v>
      </c>
      <c r="D12" s="109">
        <f>'11.Charges'!$D$12*'11.Charges'!$E$12*'9.Var.Vente1'!D9</f>
        <v>0</v>
      </c>
      <c r="E12" s="31">
        <f>'11.Charges'!$D$12*'11.Charges'!$E$12*'9.Var.Vente1'!E9</f>
        <v>0</v>
      </c>
      <c r="F12" s="31">
        <f>'11.Charges'!$D$12*'11.Charges'!$E$12*'9.Var.Vente1'!F9</f>
        <v>0</v>
      </c>
      <c r="G12" s="31">
        <f>'11.Charges'!$D$12*'11.Charges'!$E$12*'9.Var.Vente1'!G9</f>
        <v>0</v>
      </c>
      <c r="H12" s="31">
        <f>'11.Charges'!$D$12*'11.Charges'!$E$12*'9.Var.Vente1'!H9</f>
        <v>0</v>
      </c>
      <c r="I12" s="31">
        <f>'11.Charges'!$D$12*'11.Charges'!$E$12*'9.Var.Vente1'!I9</f>
        <v>0</v>
      </c>
      <c r="J12" s="31">
        <f>'11.Charges'!$D$12*'11.Charges'!$E$12*'9.Var.Vente1'!J9</f>
        <v>0</v>
      </c>
      <c r="K12" s="31">
        <f>'11.Charges'!$D$12*'11.Charges'!$E$12*'9.Var.Vente1'!K9</f>
        <v>0</v>
      </c>
      <c r="L12" s="31">
        <f>'11.Charges'!$D$12*'11.Charges'!$E$12*'9.Var.Vente1'!L9</f>
        <v>0</v>
      </c>
      <c r="M12" s="31">
        <f>'11.Charges'!$D$12*'11.Charges'!$E$12*'9.Var.Vente1'!M9</f>
        <v>0</v>
      </c>
      <c r="N12" s="31">
        <f>'11.Charges'!$D$12*'11.Charges'!$E$12*'9.Var.Vente1'!N9</f>
        <v>0</v>
      </c>
      <c r="O12" s="31">
        <f>'11.Charges'!$D$12*'11.Charges'!$E$12*'9.Var.Vente1'!O9</f>
        <v>0</v>
      </c>
      <c r="P12" s="31">
        <f>'11.Charges'!$D12*'11.Charges'!$E12*'9.Var.Vente1'!P$5</f>
        <v>0</v>
      </c>
      <c r="Q12" s="31">
        <f>'11.Charges'!$D12*'11.Charges'!$E12*'9.Var.Vente1'!Q$5</f>
        <v>0</v>
      </c>
      <c r="R12" s="31">
        <f>'11.Charges'!$D12*'11.Charges'!$E12*'9.Var.Vente1'!R$5</f>
        <v>0</v>
      </c>
    </row>
    <row r="13" spans="1:18">
      <c r="A13" s="35" t="str">
        <f>'11.Charges'!A13</f>
        <v>Frais indirects de vente</v>
      </c>
      <c r="B13" s="31" t="str">
        <f>'11.Charges'!B13</f>
        <v>Logistique Tenue de luxe Homme</v>
      </c>
      <c r="C13" s="31" t="str">
        <f>'11.Charges'!C13</f>
        <v>FIF2</v>
      </c>
      <c r="D13" s="108">
        <f>'11.Charges'!$D$13*'11.Charges'!$E$13*'9.Var.Vente1'!D5</f>
        <v>12000</v>
      </c>
      <c r="E13" s="31">
        <f>'11.Charges'!$D$13*'11.Charges'!$E$13*'9.Var.Vente1'!E5</f>
        <v>12000</v>
      </c>
      <c r="F13" s="31">
        <f>'11.Charges'!$D$13*'11.Charges'!$E$13*'9.Var.Vente1'!F5</f>
        <v>12000</v>
      </c>
      <c r="G13" s="31">
        <f>'11.Charges'!$D$13*'11.Charges'!$E$13*'9.Var.Vente1'!G5</f>
        <v>12000</v>
      </c>
      <c r="H13" s="31">
        <f>'11.Charges'!$D$13*'11.Charges'!$E$13*'9.Var.Vente1'!H5</f>
        <v>12000</v>
      </c>
      <c r="I13" s="31">
        <f>'11.Charges'!$D$13*'11.Charges'!$E$13*'9.Var.Vente1'!I5</f>
        <v>12000</v>
      </c>
      <c r="J13" s="31">
        <f>'11.Charges'!$D$13*'11.Charges'!$E$13*'9.Var.Vente1'!J5</f>
        <v>12000</v>
      </c>
      <c r="K13" s="31">
        <f>'11.Charges'!$D$13*'11.Charges'!$E$13*'9.Var.Vente1'!K5</f>
        <v>12000</v>
      </c>
      <c r="L13" s="31">
        <f>'11.Charges'!$D$13*'11.Charges'!$E$13*'9.Var.Vente1'!L5</f>
        <v>12000</v>
      </c>
      <c r="M13" s="31">
        <f>'11.Charges'!$D$13*'11.Charges'!$E$13*'9.Var.Vente1'!M5</f>
        <v>12000</v>
      </c>
      <c r="N13" s="31">
        <f>'11.Charges'!$D$13*'11.Charges'!$E$13*'9.Var.Vente1'!N5</f>
        <v>12000</v>
      </c>
      <c r="O13" s="31">
        <f>'11.Charges'!$D$13*'11.Charges'!$E$13*'9.Var.Vente1'!O5</f>
        <v>12000</v>
      </c>
      <c r="P13" s="31">
        <f>'11.Charges'!$D13*'11.Charges'!$E13*'9.Var.Vente1'!P$5</f>
        <v>144000</v>
      </c>
      <c r="Q13" s="31">
        <f>'11.Charges'!$D13*'11.Charges'!$E13*'9.Var.Vente1'!Q$5</f>
        <v>158400</v>
      </c>
      <c r="R13" s="31">
        <f>'11.Charges'!$D13*'11.Charges'!$E13*'9.Var.Vente1'!R$5</f>
        <v>174240</v>
      </c>
    </row>
    <row r="14" spans="1:18">
      <c r="A14" s="35" t="str">
        <f>'11.Charges'!A14</f>
        <v>Frais indirects de vente</v>
      </c>
      <c r="B14" s="31" t="str">
        <f>'11.Charges'!B14</f>
        <v>Logistique Tenue de luxe Femme</v>
      </c>
      <c r="C14" s="31" t="str">
        <f>'11.Charges'!C14</f>
        <v>FIF2</v>
      </c>
      <c r="D14" s="108">
        <f>'11.Charges'!$D$13*'11.Charges'!$E$13*'9.Var.Vente1'!D6</f>
        <v>22800</v>
      </c>
      <c r="E14" s="31">
        <f>'11.Charges'!$D$13*'11.Charges'!$E$13*'9.Var.Vente1'!E6</f>
        <v>22800</v>
      </c>
      <c r="F14" s="31">
        <f>'11.Charges'!$D$13*'11.Charges'!$E$13*'9.Var.Vente1'!F6</f>
        <v>22800</v>
      </c>
      <c r="G14" s="31">
        <f>'11.Charges'!$D$13*'11.Charges'!$E$13*'9.Var.Vente1'!G6</f>
        <v>22800</v>
      </c>
      <c r="H14" s="31">
        <f>'11.Charges'!$D$13*'11.Charges'!$E$13*'9.Var.Vente1'!H6</f>
        <v>22800</v>
      </c>
      <c r="I14" s="31">
        <f>'11.Charges'!$D$13*'11.Charges'!$E$13*'9.Var.Vente1'!I6</f>
        <v>22800</v>
      </c>
      <c r="J14" s="31">
        <f>'11.Charges'!$D$13*'11.Charges'!$E$13*'9.Var.Vente1'!J6</f>
        <v>22800</v>
      </c>
      <c r="K14" s="31">
        <f>'11.Charges'!$D$13*'11.Charges'!$E$13*'9.Var.Vente1'!K6</f>
        <v>22800</v>
      </c>
      <c r="L14" s="31">
        <f>'11.Charges'!$D$13*'11.Charges'!$E$13*'9.Var.Vente1'!L6</f>
        <v>22800</v>
      </c>
      <c r="M14" s="31">
        <f>'11.Charges'!$D$13*'11.Charges'!$E$13*'9.Var.Vente1'!M6</f>
        <v>22800</v>
      </c>
      <c r="N14" s="31">
        <f>'11.Charges'!$D$13*'11.Charges'!$E$13*'9.Var.Vente1'!N6</f>
        <v>22800</v>
      </c>
      <c r="O14" s="31">
        <f>'11.Charges'!$D$13*'11.Charges'!$E$13*'9.Var.Vente1'!O6</f>
        <v>22800</v>
      </c>
      <c r="P14" s="31">
        <f>'11.Charges'!$D14*'11.Charges'!$E14*'9.Var.Vente1'!P$5</f>
        <v>288000</v>
      </c>
      <c r="Q14" s="31">
        <f>'11.Charges'!$D14*'11.Charges'!$E14*'9.Var.Vente1'!Q$5</f>
        <v>316800</v>
      </c>
      <c r="R14" s="31">
        <f>'11.Charges'!$D14*'11.Charges'!$E14*'9.Var.Vente1'!R$5</f>
        <v>348480</v>
      </c>
    </row>
    <row r="15" spans="1:18">
      <c r="A15" s="35" t="str">
        <f>'11.Charges'!A15</f>
        <v>Frais indirects de vente</v>
      </c>
      <c r="B15" s="31" t="str">
        <f>'11.Charges'!B15</f>
        <v>Logistique Prêt-à-porter homme</v>
      </c>
      <c r="C15" s="31" t="str">
        <f>'11.Charges'!C15</f>
        <v>FIF2</v>
      </c>
      <c r="D15" s="108">
        <f>'11.Charges'!$D$13*'11.Charges'!$E$13*'9.Var.Vente1'!D7</f>
        <v>48000</v>
      </c>
      <c r="E15" s="31">
        <f>'11.Charges'!$D$13*'11.Charges'!$E$13*'9.Var.Vente1'!E7</f>
        <v>48000</v>
      </c>
      <c r="F15" s="31">
        <f>'11.Charges'!$D$13*'11.Charges'!$E$13*'9.Var.Vente1'!F7</f>
        <v>48000</v>
      </c>
      <c r="G15" s="31">
        <f>'11.Charges'!$D$13*'11.Charges'!$E$13*'9.Var.Vente1'!G7</f>
        <v>48000</v>
      </c>
      <c r="H15" s="31">
        <f>'11.Charges'!$D$13*'11.Charges'!$E$13*'9.Var.Vente1'!H7</f>
        <v>48000</v>
      </c>
      <c r="I15" s="31">
        <f>'11.Charges'!$D$13*'11.Charges'!$E$13*'9.Var.Vente1'!I7</f>
        <v>48000</v>
      </c>
      <c r="J15" s="31">
        <f>'11.Charges'!$D$13*'11.Charges'!$E$13*'9.Var.Vente1'!J7</f>
        <v>48000</v>
      </c>
      <c r="K15" s="31">
        <f>'11.Charges'!$D$13*'11.Charges'!$E$13*'9.Var.Vente1'!K7</f>
        <v>48000</v>
      </c>
      <c r="L15" s="31">
        <f>'11.Charges'!$D$13*'11.Charges'!$E$13*'9.Var.Vente1'!L7</f>
        <v>48000</v>
      </c>
      <c r="M15" s="31">
        <f>'11.Charges'!$D$13*'11.Charges'!$E$13*'9.Var.Vente1'!M7</f>
        <v>48000</v>
      </c>
      <c r="N15" s="31">
        <f>'11.Charges'!$D$13*'11.Charges'!$E$13*'9.Var.Vente1'!N7</f>
        <v>48000</v>
      </c>
      <c r="O15" s="31">
        <f>'11.Charges'!$D$13*'11.Charges'!$E$13*'9.Var.Vente1'!O7</f>
        <v>48000</v>
      </c>
      <c r="P15" s="31">
        <f>'11.Charges'!$D15*'11.Charges'!$E15*'9.Var.Vente1'!P$5</f>
        <v>72000</v>
      </c>
      <c r="Q15" s="31">
        <f>'11.Charges'!$D15*'11.Charges'!$E15*'9.Var.Vente1'!Q$5</f>
        <v>79200</v>
      </c>
      <c r="R15" s="31">
        <f>'11.Charges'!$D15*'11.Charges'!$E15*'9.Var.Vente1'!R$5</f>
        <v>87120</v>
      </c>
    </row>
    <row r="16" spans="1:18">
      <c r="A16" s="35" t="str">
        <f>'11.Charges'!A16</f>
        <v>Frais indirects de vente</v>
      </c>
      <c r="B16" s="31" t="str">
        <f>'11.Charges'!B16</f>
        <v>Logistique Prêt-à-porter femme</v>
      </c>
      <c r="C16" s="31" t="str">
        <f>'11.Charges'!C16</f>
        <v>FIF2</v>
      </c>
      <c r="D16" s="108">
        <f>'11.Charges'!$D$13*'11.Charges'!$E$13*'9.Var.Vente1'!D8</f>
        <v>91200</v>
      </c>
      <c r="E16" s="31">
        <f>'11.Charges'!$D$13*'11.Charges'!$E$13*'9.Var.Vente1'!E8</f>
        <v>91200</v>
      </c>
      <c r="F16" s="31">
        <f>'11.Charges'!$D$13*'11.Charges'!$E$13*'9.Var.Vente1'!F8</f>
        <v>91200</v>
      </c>
      <c r="G16" s="31">
        <f>'11.Charges'!$D$13*'11.Charges'!$E$13*'9.Var.Vente1'!G8</f>
        <v>91200</v>
      </c>
      <c r="H16" s="31">
        <f>'11.Charges'!$D$13*'11.Charges'!$E$13*'9.Var.Vente1'!H8</f>
        <v>91200</v>
      </c>
      <c r="I16" s="31">
        <f>'11.Charges'!$D$13*'11.Charges'!$E$13*'9.Var.Vente1'!I8</f>
        <v>91200</v>
      </c>
      <c r="J16" s="31">
        <f>'11.Charges'!$D$13*'11.Charges'!$E$13*'9.Var.Vente1'!J8</f>
        <v>91200</v>
      </c>
      <c r="K16" s="31">
        <f>'11.Charges'!$D$13*'11.Charges'!$E$13*'9.Var.Vente1'!K8</f>
        <v>91200</v>
      </c>
      <c r="L16" s="31">
        <f>'11.Charges'!$D$13*'11.Charges'!$E$13*'9.Var.Vente1'!L8</f>
        <v>91200</v>
      </c>
      <c r="M16" s="31">
        <f>'11.Charges'!$D$13*'11.Charges'!$E$13*'9.Var.Vente1'!M8</f>
        <v>91200</v>
      </c>
      <c r="N16" s="31">
        <f>'11.Charges'!$D$13*'11.Charges'!$E$13*'9.Var.Vente1'!N8</f>
        <v>91200</v>
      </c>
      <c r="O16" s="31">
        <f>'11.Charges'!$D$13*'11.Charges'!$E$13*'9.Var.Vente1'!O8</f>
        <v>91200</v>
      </c>
      <c r="P16" s="31">
        <f>'11.Charges'!$D16*'11.Charges'!$E16*'9.Var.Vente1'!P$5</f>
        <v>36000</v>
      </c>
      <c r="Q16" s="31">
        <f>'11.Charges'!$D16*'11.Charges'!$E16*'9.Var.Vente1'!Q$5</f>
        <v>39600</v>
      </c>
      <c r="R16" s="31">
        <f>'11.Charges'!$D16*'11.Charges'!$E16*'9.Var.Vente1'!R$5</f>
        <v>43560</v>
      </c>
    </row>
    <row r="17" spans="1:18">
      <c r="A17" s="35" t="str">
        <f>'11.Charges'!A17</f>
        <v>Frais indirects de vente</v>
      </c>
      <c r="B17" s="31" t="str">
        <f>'11.Charges'!B17</f>
        <v>Stockage Tenue de luxe Homme</v>
      </c>
      <c r="C17" s="31" t="str">
        <f>'11.Charges'!C17</f>
        <v>FIF2</v>
      </c>
      <c r="D17" s="108">
        <f>'11.Charges'!$D$13*'11.Charges'!$E$13*'9.Var.Vente1'!D9</f>
        <v>0</v>
      </c>
      <c r="E17" s="31">
        <f>'11.Charges'!$D$13*'11.Charges'!$E$13*'9.Var.Vente1'!E9</f>
        <v>0</v>
      </c>
      <c r="F17" s="31">
        <f>'11.Charges'!$D$13*'11.Charges'!$E$13*'9.Var.Vente1'!F9</f>
        <v>0</v>
      </c>
      <c r="G17" s="31">
        <f>'11.Charges'!$D$13*'11.Charges'!$E$13*'9.Var.Vente1'!G9</f>
        <v>0</v>
      </c>
      <c r="H17" s="31">
        <f>'11.Charges'!$D$13*'11.Charges'!$E$13*'9.Var.Vente1'!H9</f>
        <v>0</v>
      </c>
      <c r="I17" s="31">
        <f>'11.Charges'!$D$13*'11.Charges'!$E$13*'9.Var.Vente1'!I9</f>
        <v>0</v>
      </c>
      <c r="J17" s="31">
        <f>'11.Charges'!$D$13*'11.Charges'!$E$13*'9.Var.Vente1'!J9</f>
        <v>0</v>
      </c>
      <c r="K17" s="31">
        <f>'11.Charges'!$D$13*'11.Charges'!$E$13*'9.Var.Vente1'!K9</f>
        <v>0</v>
      </c>
      <c r="L17" s="31">
        <f>'11.Charges'!$D$13*'11.Charges'!$E$13*'9.Var.Vente1'!L9</f>
        <v>0</v>
      </c>
      <c r="M17" s="31">
        <f>'11.Charges'!$D$13*'11.Charges'!$E$13*'9.Var.Vente1'!M9</f>
        <v>0</v>
      </c>
      <c r="N17" s="31">
        <f>'11.Charges'!$D$13*'11.Charges'!$E$13*'9.Var.Vente1'!N9</f>
        <v>0</v>
      </c>
      <c r="O17" s="31">
        <f>'11.Charges'!$D$13*'11.Charges'!$E$13*'9.Var.Vente1'!O9</f>
        <v>0</v>
      </c>
      <c r="P17" s="31">
        <f>'11.Charges'!$D17*'11.Charges'!$E17*'9.Var.Vente1'!P$5</f>
        <v>288000</v>
      </c>
      <c r="Q17" s="31">
        <f>'11.Charges'!$D17*'11.Charges'!$E17*'9.Var.Vente1'!Q$5</f>
        <v>316800</v>
      </c>
      <c r="R17" s="31">
        <f>'11.Charges'!$D17*'11.Charges'!$E17*'9.Var.Vente1'!R$5</f>
        <v>348480</v>
      </c>
    </row>
    <row r="18" spans="1:18">
      <c r="A18" s="35" t="str">
        <f>'11.Charges'!A18</f>
        <v>Frais indirects de vente</v>
      </c>
      <c r="B18" s="31" t="str">
        <f>'11.Charges'!B18</f>
        <v>Stockage Tenue de luxe Femme</v>
      </c>
      <c r="C18" s="31" t="str">
        <f>'11.Charges'!C18</f>
        <v>FIF2</v>
      </c>
      <c r="D18" s="108">
        <f>'11.Charges'!$D$13*'11.Charges'!$E$13*'9.Var.Vente1'!D10</f>
        <v>0</v>
      </c>
      <c r="E18" s="31">
        <f>'11.Charges'!$D$13*'11.Charges'!$E$13*'9.Var.Vente1'!E10</f>
        <v>0</v>
      </c>
      <c r="F18" s="31">
        <f>'11.Charges'!$D$13*'11.Charges'!$E$13*'9.Var.Vente1'!F10</f>
        <v>0</v>
      </c>
      <c r="G18" s="31">
        <f>'11.Charges'!$D$13*'11.Charges'!$E$13*'9.Var.Vente1'!G10</f>
        <v>0</v>
      </c>
      <c r="H18" s="31">
        <f>'11.Charges'!$D$13*'11.Charges'!$E$13*'9.Var.Vente1'!H10</f>
        <v>0</v>
      </c>
      <c r="I18" s="31">
        <f>'11.Charges'!$D$13*'11.Charges'!$E$13*'9.Var.Vente1'!I10</f>
        <v>0</v>
      </c>
      <c r="J18" s="31">
        <f>'11.Charges'!$D$13*'11.Charges'!$E$13*'9.Var.Vente1'!J10</f>
        <v>0</v>
      </c>
      <c r="K18" s="31">
        <f>'11.Charges'!$D$13*'11.Charges'!$E$13*'9.Var.Vente1'!K10</f>
        <v>0</v>
      </c>
      <c r="L18" s="31">
        <f>'11.Charges'!$D$13*'11.Charges'!$E$13*'9.Var.Vente1'!L10</f>
        <v>0</v>
      </c>
      <c r="M18" s="31">
        <f>'11.Charges'!$D$13*'11.Charges'!$E$13*'9.Var.Vente1'!M10</f>
        <v>0</v>
      </c>
      <c r="N18" s="31">
        <f>'11.Charges'!$D$13*'11.Charges'!$E$13*'9.Var.Vente1'!N10</f>
        <v>0</v>
      </c>
      <c r="O18" s="31">
        <f>'11.Charges'!$D$13*'11.Charges'!$E$13*'9.Var.Vente1'!O10</f>
        <v>0</v>
      </c>
      <c r="P18" s="31">
        <f>'11.Charges'!$D18*'11.Charges'!$E18*'9.Var.Vente1'!P$5</f>
        <v>576000</v>
      </c>
      <c r="Q18" s="31">
        <f>'11.Charges'!$D18*'11.Charges'!$E18*'9.Var.Vente1'!Q$5</f>
        <v>633600</v>
      </c>
      <c r="R18" s="31">
        <f>'11.Charges'!$D18*'11.Charges'!$E18*'9.Var.Vente1'!R$5</f>
        <v>696960</v>
      </c>
    </row>
    <row r="19" spans="1:18">
      <c r="A19" s="35" t="str">
        <f>'11.Charges'!A19</f>
        <v>Frais indirects de vente</v>
      </c>
      <c r="B19" s="31" t="str">
        <f>'11.Charges'!B19</f>
        <v>Stockage Prêt-à-porter homme</v>
      </c>
      <c r="C19" s="31" t="str">
        <f>'11.Charges'!C19</f>
        <v>FIF2</v>
      </c>
      <c r="D19" s="108">
        <f>'11.Charges'!$D$13*'11.Charges'!$E$13*'9.Var.Vente1'!D11</f>
        <v>0</v>
      </c>
      <c r="E19" s="31">
        <f>'11.Charges'!$D$13*'11.Charges'!$E$13*'9.Var.Vente1'!E11</f>
        <v>0</v>
      </c>
      <c r="F19" s="31">
        <f>'11.Charges'!$D$13*'11.Charges'!$E$13*'9.Var.Vente1'!F11</f>
        <v>0</v>
      </c>
      <c r="G19" s="31">
        <f>'11.Charges'!$D$13*'11.Charges'!$E$13*'9.Var.Vente1'!G11</f>
        <v>0</v>
      </c>
      <c r="H19" s="31">
        <f>'11.Charges'!$D$13*'11.Charges'!$E$13*'9.Var.Vente1'!H11</f>
        <v>0</v>
      </c>
      <c r="I19" s="31">
        <f>'11.Charges'!$D$13*'11.Charges'!$E$13*'9.Var.Vente1'!I11</f>
        <v>0</v>
      </c>
      <c r="J19" s="31">
        <f>'11.Charges'!$D$13*'11.Charges'!$E$13*'9.Var.Vente1'!J11</f>
        <v>0</v>
      </c>
      <c r="K19" s="31">
        <f>'11.Charges'!$D$13*'11.Charges'!$E$13*'9.Var.Vente1'!K11</f>
        <v>0</v>
      </c>
      <c r="L19" s="31">
        <f>'11.Charges'!$D$13*'11.Charges'!$E$13*'9.Var.Vente1'!L11</f>
        <v>0</v>
      </c>
      <c r="M19" s="31">
        <f>'11.Charges'!$D$13*'11.Charges'!$E$13*'9.Var.Vente1'!M11</f>
        <v>0</v>
      </c>
      <c r="N19" s="31">
        <f>'11.Charges'!$D$13*'11.Charges'!$E$13*'9.Var.Vente1'!N11</f>
        <v>0</v>
      </c>
      <c r="O19" s="31">
        <f>'11.Charges'!$D$13*'11.Charges'!$E$13*'9.Var.Vente1'!O11</f>
        <v>0</v>
      </c>
      <c r="P19" s="31">
        <f>'11.Charges'!$D19*'11.Charges'!$E19*'9.Var.Vente1'!P$5</f>
        <v>144000</v>
      </c>
      <c r="Q19" s="31">
        <f>'11.Charges'!$D19*'11.Charges'!$E19*'9.Var.Vente1'!Q$5</f>
        <v>158400</v>
      </c>
      <c r="R19" s="31">
        <f>'11.Charges'!$D19*'11.Charges'!$E19*'9.Var.Vente1'!R$5</f>
        <v>174240</v>
      </c>
    </row>
    <row r="20" spans="1:18">
      <c r="A20" s="35" t="str">
        <f>'11.Charges'!A20</f>
        <v>Frais indirects de vente</v>
      </c>
      <c r="B20" s="31" t="str">
        <f>'11.Charges'!B20</f>
        <v>Stockage Prêt-à-porter femme</v>
      </c>
      <c r="C20" s="31" t="str">
        <f>'11.Charges'!C20</f>
        <v>FIF2</v>
      </c>
      <c r="D20" s="108">
        <f>'11.Charges'!$D$13*'11.Charges'!$E$13*'9.Var.Vente1'!D12</f>
        <v>43500</v>
      </c>
      <c r="E20" s="31">
        <f>'11.Charges'!$D$13*'11.Charges'!$E$13*'9.Var.Vente1'!E12</f>
        <v>43500</v>
      </c>
      <c r="F20" s="31">
        <f>'11.Charges'!$D$13*'11.Charges'!$E$13*'9.Var.Vente1'!F12</f>
        <v>43500</v>
      </c>
      <c r="G20" s="31">
        <f>'11.Charges'!$D$13*'11.Charges'!$E$13*'9.Var.Vente1'!G12</f>
        <v>43500</v>
      </c>
      <c r="H20" s="31">
        <f>'11.Charges'!$D$13*'11.Charges'!$E$13*'9.Var.Vente1'!H12</f>
        <v>43500</v>
      </c>
      <c r="I20" s="31">
        <f>'11.Charges'!$D$13*'11.Charges'!$E$13*'9.Var.Vente1'!I12</f>
        <v>43500</v>
      </c>
      <c r="J20" s="31">
        <f>'11.Charges'!$D$13*'11.Charges'!$E$13*'9.Var.Vente1'!J12</f>
        <v>43500</v>
      </c>
      <c r="K20" s="31">
        <f>'11.Charges'!$D$13*'11.Charges'!$E$13*'9.Var.Vente1'!K12</f>
        <v>43500</v>
      </c>
      <c r="L20" s="31">
        <f>'11.Charges'!$D$13*'11.Charges'!$E$13*'9.Var.Vente1'!L12</f>
        <v>43500</v>
      </c>
      <c r="M20" s="31">
        <f>'11.Charges'!$D$13*'11.Charges'!$E$13*'9.Var.Vente1'!M12</f>
        <v>43500</v>
      </c>
      <c r="N20" s="31">
        <f>'11.Charges'!$D$13*'11.Charges'!$E$13*'9.Var.Vente1'!N12</f>
        <v>43500</v>
      </c>
      <c r="O20" s="31">
        <f>'11.Charges'!$D$13*'11.Charges'!$E$13*'9.Var.Vente1'!O12</f>
        <v>43500</v>
      </c>
      <c r="P20" s="31">
        <f>'11.Charges'!$D20*'11.Charges'!$E20*'9.Var.Vente1'!P$5</f>
        <v>72000</v>
      </c>
      <c r="Q20" s="31">
        <f>'11.Charges'!$D20*'11.Charges'!$E20*'9.Var.Vente1'!Q$5</f>
        <v>79200</v>
      </c>
      <c r="R20" s="31">
        <f>'11.Charges'!$D20*'11.Charges'!$E20*'9.Var.Vente1'!R$5</f>
        <v>87120</v>
      </c>
    </row>
    <row r="21" spans="1:18">
      <c r="A21" s="35" t="str">
        <f>'11.Charges'!A21</f>
        <v>Frais indirects de vente</v>
      </c>
      <c r="B21" s="31" t="str">
        <f>'11.Charges'!B21</f>
        <v>Commission MP Tenue de luxe Homme</v>
      </c>
      <c r="C21" s="31" t="str">
        <f>'11.Charges'!C21</f>
        <v>FIF2</v>
      </c>
      <c r="D21" s="108">
        <f>'11.Charges'!$D$13*'11.Charges'!$E$13*'9.Var.Vente1'!D13</f>
        <v>0</v>
      </c>
      <c r="E21" s="31">
        <f>'11.Charges'!$D$13*'11.Charges'!$E$13*'9.Var.Vente1'!E13</f>
        <v>0</v>
      </c>
      <c r="F21" s="31">
        <f>'11.Charges'!$D$13*'11.Charges'!$E$13*'9.Var.Vente1'!F13</f>
        <v>0</v>
      </c>
      <c r="G21" s="31">
        <f>'11.Charges'!$D$13*'11.Charges'!$E$13*'9.Var.Vente1'!G13</f>
        <v>0</v>
      </c>
      <c r="H21" s="31">
        <f>'11.Charges'!$D$13*'11.Charges'!$E$13*'9.Var.Vente1'!H13</f>
        <v>0</v>
      </c>
      <c r="I21" s="31">
        <f>'11.Charges'!$D$13*'11.Charges'!$E$13*'9.Var.Vente1'!I13</f>
        <v>0</v>
      </c>
      <c r="J21" s="31">
        <f>'11.Charges'!$D$13*'11.Charges'!$E$13*'9.Var.Vente1'!J13</f>
        <v>0</v>
      </c>
      <c r="K21" s="31">
        <f>'11.Charges'!$D$13*'11.Charges'!$E$13*'9.Var.Vente1'!K13</f>
        <v>0</v>
      </c>
      <c r="L21" s="31">
        <f>'11.Charges'!$D$13*'11.Charges'!$E$13*'9.Var.Vente1'!L13</f>
        <v>0</v>
      </c>
      <c r="M21" s="31">
        <f>'11.Charges'!$D$13*'11.Charges'!$E$13*'9.Var.Vente1'!M13</f>
        <v>0</v>
      </c>
      <c r="N21" s="31">
        <f>'11.Charges'!$D$13*'11.Charges'!$E$13*'9.Var.Vente1'!N13</f>
        <v>0</v>
      </c>
      <c r="O21" s="31">
        <f>'11.Charges'!$D$13*'11.Charges'!$E$13*'9.Var.Vente1'!O13</f>
        <v>0</v>
      </c>
      <c r="P21" s="31">
        <f>'11.Charges'!$D21*'11.Charges'!$E21*'9.Var.Vente1'!P$5</f>
        <v>144000</v>
      </c>
      <c r="Q21" s="31">
        <f>'11.Charges'!$D21*'11.Charges'!$E21*'9.Var.Vente1'!Q$5</f>
        <v>158400</v>
      </c>
      <c r="R21" s="31">
        <f>'11.Charges'!$D21*'11.Charges'!$E21*'9.Var.Vente1'!R$5</f>
        <v>174240</v>
      </c>
    </row>
    <row r="22" spans="1:18">
      <c r="A22" s="35" t="str">
        <f>'11.Charges'!A22</f>
        <v>Frais indirects de vente</v>
      </c>
      <c r="B22" s="31" t="str">
        <f>'11.Charges'!B22</f>
        <v>Commission MP Tenue de luxe Femme</v>
      </c>
      <c r="C22" s="31" t="str">
        <f>'11.Charges'!C22</f>
        <v>FIF2</v>
      </c>
      <c r="D22" s="108">
        <f>'11.Charges'!$D$13*'11.Charges'!$E$13*'9.Var.Vente1'!D14</f>
        <v>0</v>
      </c>
      <c r="E22" s="31">
        <f>'11.Charges'!$D$13*'11.Charges'!$E$13*'9.Var.Vente1'!E14</f>
        <v>0</v>
      </c>
      <c r="F22" s="31">
        <f>'11.Charges'!$D$13*'11.Charges'!$E$13*'9.Var.Vente1'!F14</f>
        <v>0</v>
      </c>
      <c r="G22" s="31">
        <f>'11.Charges'!$D$13*'11.Charges'!$E$13*'9.Var.Vente1'!G14</f>
        <v>0</v>
      </c>
      <c r="H22" s="31">
        <f>'11.Charges'!$D$13*'11.Charges'!$E$13*'9.Var.Vente1'!H14</f>
        <v>0</v>
      </c>
      <c r="I22" s="31">
        <f>'11.Charges'!$D$13*'11.Charges'!$E$13*'9.Var.Vente1'!I14</f>
        <v>0</v>
      </c>
      <c r="J22" s="31">
        <f>'11.Charges'!$D$13*'11.Charges'!$E$13*'9.Var.Vente1'!J14</f>
        <v>0</v>
      </c>
      <c r="K22" s="31">
        <f>'11.Charges'!$D$13*'11.Charges'!$E$13*'9.Var.Vente1'!K14</f>
        <v>0</v>
      </c>
      <c r="L22" s="31">
        <f>'11.Charges'!$D$13*'11.Charges'!$E$13*'9.Var.Vente1'!L14</f>
        <v>0</v>
      </c>
      <c r="M22" s="31">
        <f>'11.Charges'!$D$13*'11.Charges'!$E$13*'9.Var.Vente1'!M14</f>
        <v>0</v>
      </c>
      <c r="N22" s="31">
        <f>'11.Charges'!$D$13*'11.Charges'!$E$13*'9.Var.Vente1'!N14</f>
        <v>0</v>
      </c>
      <c r="O22" s="31">
        <f>'11.Charges'!$D$13*'11.Charges'!$E$13*'9.Var.Vente1'!O14</f>
        <v>0</v>
      </c>
      <c r="P22" s="31">
        <f>'11.Charges'!$D22*'11.Charges'!$E22*'9.Var.Vente1'!P$5</f>
        <v>288000</v>
      </c>
      <c r="Q22" s="31">
        <f>'11.Charges'!$D22*'11.Charges'!$E22*'9.Var.Vente1'!Q$5</f>
        <v>316800</v>
      </c>
      <c r="R22" s="31">
        <f>'11.Charges'!$D22*'11.Charges'!$E22*'9.Var.Vente1'!R$5</f>
        <v>348480</v>
      </c>
    </row>
    <row r="23" spans="1:18">
      <c r="A23" s="35" t="str">
        <f>'11.Charges'!A23</f>
        <v>Frais indirects de vente</v>
      </c>
      <c r="B23" s="31" t="str">
        <f>'11.Charges'!B23</f>
        <v>Commission MP Prêt-à-porter homme</v>
      </c>
      <c r="C23" s="31" t="str">
        <f>'11.Charges'!C23</f>
        <v>FIF2</v>
      </c>
      <c r="D23" s="108">
        <f>'11.Charges'!$D$13*'11.Charges'!$E$13*'9.Var.Vente1'!D15</f>
        <v>0</v>
      </c>
      <c r="E23" s="31">
        <f>'11.Charges'!$D$13*'11.Charges'!$E$13*'9.Var.Vente1'!E15</f>
        <v>0</v>
      </c>
      <c r="F23" s="31">
        <f>'11.Charges'!$D$13*'11.Charges'!$E$13*'9.Var.Vente1'!F15</f>
        <v>0</v>
      </c>
      <c r="G23" s="31">
        <f>'11.Charges'!$D$13*'11.Charges'!$E$13*'9.Var.Vente1'!G15</f>
        <v>0</v>
      </c>
      <c r="H23" s="31">
        <f>'11.Charges'!$D$13*'11.Charges'!$E$13*'9.Var.Vente1'!H15</f>
        <v>0</v>
      </c>
      <c r="I23" s="31">
        <f>'11.Charges'!$D$13*'11.Charges'!$E$13*'9.Var.Vente1'!I15</f>
        <v>0</v>
      </c>
      <c r="J23" s="31">
        <f>'11.Charges'!$D$13*'11.Charges'!$E$13*'9.Var.Vente1'!J15</f>
        <v>0</v>
      </c>
      <c r="K23" s="31">
        <f>'11.Charges'!$D$13*'11.Charges'!$E$13*'9.Var.Vente1'!K15</f>
        <v>0</v>
      </c>
      <c r="L23" s="31">
        <f>'11.Charges'!$D$13*'11.Charges'!$E$13*'9.Var.Vente1'!L15</f>
        <v>0</v>
      </c>
      <c r="M23" s="31">
        <f>'11.Charges'!$D$13*'11.Charges'!$E$13*'9.Var.Vente1'!M15</f>
        <v>0</v>
      </c>
      <c r="N23" s="31">
        <f>'11.Charges'!$D$13*'11.Charges'!$E$13*'9.Var.Vente1'!N15</f>
        <v>0</v>
      </c>
      <c r="O23" s="31">
        <f>'11.Charges'!$D$13*'11.Charges'!$E$13*'9.Var.Vente1'!O15</f>
        <v>0</v>
      </c>
      <c r="P23" s="31">
        <f>'11.Charges'!$D23*'11.Charges'!$E23*'9.Var.Vente1'!P$5</f>
        <v>72000</v>
      </c>
      <c r="Q23" s="31">
        <f>'11.Charges'!$D23*'11.Charges'!$E23*'9.Var.Vente1'!Q$5</f>
        <v>79200</v>
      </c>
      <c r="R23" s="31">
        <f>'11.Charges'!$D23*'11.Charges'!$E23*'9.Var.Vente1'!R$5</f>
        <v>87120</v>
      </c>
    </row>
    <row r="24" spans="1:18">
      <c r="A24" s="35" t="str">
        <f>'11.Charges'!A24</f>
        <v>Frais indirects de vente</v>
      </c>
      <c r="B24" s="31" t="str">
        <f>'11.Charges'!B24</f>
        <v>Commission MP Prêt-à-porter femme</v>
      </c>
      <c r="C24" s="31" t="str">
        <f>'11.Charges'!C24</f>
        <v>FIF2</v>
      </c>
      <c r="D24" s="108">
        <f>'11.Charges'!$D$13*'11.Charges'!$E$13*'9.Var.Vente1'!D16</f>
        <v>0</v>
      </c>
      <c r="E24" s="31">
        <f>'11.Charges'!$D$13*'11.Charges'!$E$13*'9.Var.Vente1'!E16</f>
        <v>0</v>
      </c>
      <c r="F24" s="31">
        <f>'11.Charges'!$D$13*'11.Charges'!$E$13*'9.Var.Vente1'!F16</f>
        <v>0</v>
      </c>
      <c r="G24" s="31">
        <f>'11.Charges'!$D$13*'11.Charges'!$E$13*'9.Var.Vente1'!G16</f>
        <v>0</v>
      </c>
      <c r="H24" s="31">
        <f>'11.Charges'!$D$13*'11.Charges'!$E$13*'9.Var.Vente1'!H16</f>
        <v>0</v>
      </c>
      <c r="I24" s="31">
        <f>'11.Charges'!$D$13*'11.Charges'!$E$13*'9.Var.Vente1'!I16</f>
        <v>0</v>
      </c>
      <c r="J24" s="31">
        <f>'11.Charges'!$D$13*'11.Charges'!$E$13*'9.Var.Vente1'!J16</f>
        <v>0</v>
      </c>
      <c r="K24" s="31">
        <f>'11.Charges'!$D$13*'11.Charges'!$E$13*'9.Var.Vente1'!K16</f>
        <v>0</v>
      </c>
      <c r="L24" s="31">
        <f>'11.Charges'!$D$13*'11.Charges'!$E$13*'9.Var.Vente1'!L16</f>
        <v>0</v>
      </c>
      <c r="M24" s="31">
        <f>'11.Charges'!$D$13*'11.Charges'!$E$13*'9.Var.Vente1'!M16</f>
        <v>0</v>
      </c>
      <c r="N24" s="31">
        <f>'11.Charges'!$D$13*'11.Charges'!$E$13*'9.Var.Vente1'!N16</f>
        <v>0</v>
      </c>
      <c r="O24" s="31">
        <f>'11.Charges'!$D$13*'11.Charges'!$E$13*'9.Var.Vente1'!O16</f>
        <v>0</v>
      </c>
      <c r="P24" s="31">
        <f>'11.Charges'!$D24*'11.Charges'!$E24*'9.Var.Vente1'!P$5</f>
        <v>36000</v>
      </c>
      <c r="Q24" s="31">
        <f>'11.Charges'!$D24*'11.Charges'!$E24*'9.Var.Vente1'!Q$5</f>
        <v>39600</v>
      </c>
      <c r="R24" s="31">
        <f>'11.Charges'!$D24*'11.Charges'!$E24*'9.Var.Vente1'!R$5</f>
        <v>43560</v>
      </c>
    </row>
    <row r="25" spans="1:18">
      <c r="A25" s="113" t="str">
        <f>'11.Charges'!A25</f>
        <v>Frais indirects de vente de services</v>
      </c>
      <c r="B25" s="31">
        <f>'11.Charges'!B25</f>
        <v>0</v>
      </c>
      <c r="C25" s="31" t="str">
        <f>'11.Charges'!C25</f>
        <v>FIF3</v>
      </c>
      <c r="D25" s="110">
        <f>'11.Charges'!$D$25*'11.Charges'!$E$25*'9.Var.Vente1'!D10</f>
        <v>0</v>
      </c>
      <c r="E25" s="31">
        <f>'11.Charges'!$D$25*'11.Charges'!$E$25*'9.Var.Vente1'!E10</f>
        <v>0</v>
      </c>
      <c r="F25" s="31">
        <f>'11.Charges'!$D$25*'11.Charges'!$E$25*'9.Var.Vente1'!F10</f>
        <v>0</v>
      </c>
      <c r="G25" s="31">
        <f>'11.Charges'!$D$25*'11.Charges'!$E$25*'9.Var.Vente1'!G10</f>
        <v>0</v>
      </c>
      <c r="H25" s="31">
        <f>'11.Charges'!$D$25*'11.Charges'!$E$25*'9.Var.Vente1'!H10</f>
        <v>0</v>
      </c>
      <c r="I25" s="31">
        <f>'11.Charges'!$D$25*'11.Charges'!$E$25*'9.Var.Vente1'!I10</f>
        <v>0</v>
      </c>
      <c r="J25" s="31">
        <f>'11.Charges'!$D$25*'11.Charges'!$E$25*'9.Var.Vente1'!J10</f>
        <v>0</v>
      </c>
      <c r="K25" s="31">
        <f>'11.Charges'!$D$25*'11.Charges'!$E$25*'9.Var.Vente1'!K10</f>
        <v>0</v>
      </c>
      <c r="L25" s="31">
        <f>'11.Charges'!$D$25*'11.Charges'!$E$25*'9.Var.Vente1'!L10</f>
        <v>0</v>
      </c>
      <c r="M25" s="31">
        <f>'11.Charges'!$D$25*'11.Charges'!$E$25*'9.Var.Vente1'!M10</f>
        <v>0</v>
      </c>
      <c r="N25" s="31">
        <f>'11.Charges'!$D$25*'11.Charges'!$E$25*'9.Var.Vente1'!N10</f>
        <v>0</v>
      </c>
      <c r="O25" s="31">
        <f>'11.Charges'!$D$25*'11.Charges'!$E$25*'9.Var.Vente1'!O10</f>
        <v>0</v>
      </c>
      <c r="P25" s="31">
        <f>'11.Charges'!$D25*'11.Charges'!$E25*'9.Var.Vente1'!P$5</f>
        <v>0</v>
      </c>
      <c r="Q25" s="31">
        <f>'11.Charges'!$D25*'11.Charges'!$E25*'9.Var.Vente1'!Q$5</f>
        <v>0</v>
      </c>
      <c r="R25" s="31">
        <f>'11.Charges'!$D25*'11.Charges'!$E25*'9.Var.Vente1'!R$5</f>
        <v>0</v>
      </c>
    </row>
    <row r="26" spans="1:18">
      <c r="A26" s="37" t="str">
        <f>'11.Charges'!A26</f>
        <v xml:space="preserve">Salaires et Avantages </v>
      </c>
      <c r="B26" s="31" t="str">
        <f>'11.Charges'!B26</f>
        <v>Salaire personnel</v>
      </c>
      <c r="C26" s="31" t="str">
        <f>'11.Charges'!C26</f>
        <v>SAV1</v>
      </c>
      <c r="D26" s="31" t="e">
        <f>'11.Charges'!$D$26*'11.Charges'!$E$26*'10.Vente'!$P$12/12</f>
        <v>#VALUE!</v>
      </c>
      <c r="E26" s="31" t="e">
        <f>'11.Charges'!$D$26*'11.Charges'!$E$26*'10.Vente'!$P$12/12</f>
        <v>#VALUE!</v>
      </c>
      <c r="F26" s="31" t="e">
        <f>'11.Charges'!$D$26*'11.Charges'!$E$26*'10.Vente'!$P$12/12</f>
        <v>#VALUE!</v>
      </c>
      <c r="G26" s="31" t="e">
        <f>'11.Charges'!$D$26*'11.Charges'!$E$26*'10.Vente'!$P$12/12</f>
        <v>#VALUE!</v>
      </c>
      <c r="H26" s="31" t="e">
        <f>'11.Charges'!$D$26*'11.Charges'!$E$26*'10.Vente'!$P$12/12</f>
        <v>#VALUE!</v>
      </c>
      <c r="I26" s="31" t="e">
        <f>'11.Charges'!$D$26*'11.Charges'!$E$26*'10.Vente'!$P$12/12</f>
        <v>#VALUE!</v>
      </c>
      <c r="J26" s="31" t="e">
        <f>'11.Charges'!$D$26*'11.Charges'!$E$26*'10.Vente'!$P$12/12</f>
        <v>#VALUE!</v>
      </c>
      <c r="K26" s="31" t="e">
        <f>'11.Charges'!$D$26*'11.Charges'!$E$26*'10.Vente'!$P$12/12</f>
        <v>#VALUE!</v>
      </c>
      <c r="L26" s="31" t="e">
        <f>'11.Charges'!$D$26*'11.Charges'!$E$26*'10.Vente'!$P$12/12</f>
        <v>#VALUE!</v>
      </c>
      <c r="M26" s="31" t="e">
        <f>'11.Charges'!$D$26*'11.Charges'!$E$26*'10.Vente'!$P$12/12</f>
        <v>#VALUE!</v>
      </c>
      <c r="N26" s="31" t="e">
        <f>'11.Charges'!$D$26*'11.Charges'!$E$26*'10.Vente'!$P$12/12</f>
        <v>#VALUE!</v>
      </c>
      <c r="O26" s="31" t="e">
        <f>'11.Charges'!$D$26*'11.Charges'!$E$26*'10.Vente'!$P$12/12</f>
        <v>#VALUE!</v>
      </c>
      <c r="P26" s="31" t="e">
        <f>'11.Charges'!$D$26*'11.Charges'!$E$26*'10.Vente'!P$12</f>
        <v>#VALUE!</v>
      </c>
      <c r="Q26" s="31" t="e">
        <f>'11.Charges'!$D$26*'11.Charges'!$E$26*'10.Vente'!Q$12</f>
        <v>#VALUE!</v>
      </c>
      <c r="R26" s="31" t="e">
        <f>'11.Charges'!$D$26*'11.Charges'!$E$26*'10.Vente'!R$12</f>
        <v>#VALUE!</v>
      </c>
    </row>
    <row r="27" spans="1:18">
      <c r="A27" s="37" t="str">
        <f>'11.Charges'!A27</f>
        <v>Taxe et redevance</v>
      </c>
      <c r="B27" s="31" t="str">
        <f>'11.Charges'!B27</f>
        <v>Timbre</v>
      </c>
      <c r="C27" s="31" t="str">
        <f>'11.Charges'!C27</f>
        <v>TXR1</v>
      </c>
      <c r="D27" s="31" t="e">
        <f>'11.Charges'!$D$27*'11.Charges'!$E$27*'10.Vente'!D12</f>
        <v>#VALUE!</v>
      </c>
      <c r="E27" s="31" t="e">
        <f>'11.Charges'!$D$27*'11.Charges'!$E$27*'10.Vente'!E12</f>
        <v>#VALUE!</v>
      </c>
      <c r="F27" s="31" t="e">
        <f>'11.Charges'!$D$27*'11.Charges'!$E$27*'10.Vente'!F12</f>
        <v>#VALUE!</v>
      </c>
      <c r="G27" s="31" t="e">
        <f>'11.Charges'!$D$27*'11.Charges'!$E$27*'10.Vente'!G12</f>
        <v>#VALUE!</v>
      </c>
      <c r="H27" s="31" t="e">
        <f>'11.Charges'!$D$27*'11.Charges'!$E$27*'10.Vente'!H12</f>
        <v>#VALUE!</v>
      </c>
      <c r="I27" s="31" t="e">
        <f>'11.Charges'!$D$27*'11.Charges'!$E$27*'10.Vente'!I12</f>
        <v>#VALUE!</v>
      </c>
      <c r="J27" s="31" t="e">
        <f>'11.Charges'!$D$27*'11.Charges'!$E$27*'10.Vente'!J12</f>
        <v>#VALUE!</v>
      </c>
      <c r="K27" s="31" t="e">
        <f>'11.Charges'!$D$27*'11.Charges'!$E$27*'10.Vente'!K12</f>
        <v>#VALUE!</v>
      </c>
      <c r="L27" s="31" t="e">
        <f>'11.Charges'!$D$27*'11.Charges'!$E$27*'10.Vente'!L12</f>
        <v>#VALUE!</v>
      </c>
      <c r="M27" s="31" t="e">
        <f>'11.Charges'!$D$27*'11.Charges'!$E$27*'10.Vente'!M12</f>
        <v>#VALUE!</v>
      </c>
      <c r="N27" s="31" t="e">
        <f>'11.Charges'!$D$27*'11.Charges'!$E$27*'10.Vente'!N12</f>
        <v>#VALUE!</v>
      </c>
      <c r="O27" s="31" t="e">
        <f>'11.Charges'!$D$27*'11.Charges'!$E$27*'10.Vente'!O12</f>
        <v>#VALUE!</v>
      </c>
      <c r="P27" s="31" t="e">
        <f>'11.Charges'!$D$27*'11.Charges'!$E$27*'10.Vente'!P12</f>
        <v>#VALUE!</v>
      </c>
      <c r="Q27" s="31" t="e">
        <f>'11.Charges'!$D$27*'11.Charges'!$E$27*'10.Vente'!Q12</f>
        <v>#VALUE!</v>
      </c>
      <c r="R27" s="31" t="e">
        <f>'11.Charges'!$D$27*'11.Charges'!$E$27*'10.Vente'!R12</f>
        <v>#VALUE!</v>
      </c>
    </row>
    <row r="28" spans="1:18">
      <c r="A28" s="37" t="str">
        <f>'11.Charges'!A28</f>
        <v>Impôt sur les entreprises</v>
      </c>
      <c r="B28" s="31" t="str">
        <f>'11.Charges'!B28</f>
        <v>BIC</v>
      </c>
      <c r="C28" s="31" t="str">
        <f>'11.Charges'!C28</f>
        <v>IMP1</v>
      </c>
      <c r="D28" s="31"/>
      <c r="E28" s="31"/>
      <c r="F28" s="31"/>
      <c r="G28" s="31"/>
      <c r="H28" s="31"/>
      <c r="I28" s="31"/>
      <c r="J28" s="31"/>
      <c r="K28" s="31"/>
      <c r="L28" s="31"/>
      <c r="M28" s="31"/>
      <c r="N28" s="31"/>
      <c r="O28" s="31" t="e">
        <f>'11.Charges'!$D$28*'11.Charges'!$E$28*'10.Vente'!P12</f>
        <v>#VALUE!</v>
      </c>
      <c r="P28" s="31" t="e">
        <f>'11.Charges'!$D$28*'11.Charges'!$E$28*'10.Vente'!P12</f>
        <v>#VALUE!</v>
      </c>
      <c r="Q28" s="31" t="e">
        <f>'11.Charges'!$D$28*'11.Charges'!$E$28*'10.Vente'!Q12</f>
        <v>#VALUE!</v>
      </c>
      <c r="R28" s="31" t="e">
        <f>'11.Charges'!$D$28*'11.Charges'!$E$28*'10.Vente'!R12</f>
        <v>#VALUE!</v>
      </c>
    </row>
    <row r="29" spans="1:18">
      <c r="A29" s="115" t="str">
        <f>'11.Charges'!A40</f>
        <v>Amortissement Exploitation</v>
      </c>
      <c r="B29" s="31" t="str">
        <f>'11.Charges'!B40</f>
        <v>Amortissement équipement.</v>
      </c>
      <c r="C29" s="31" t="str">
        <f>'11.Charges'!C40</f>
        <v>AMR1</v>
      </c>
      <c r="D29" s="31"/>
      <c r="E29" s="31"/>
      <c r="F29" s="31"/>
      <c r="G29" s="31"/>
      <c r="H29" s="31"/>
      <c r="I29" s="31"/>
      <c r="J29" s="31"/>
      <c r="K29" s="31"/>
      <c r="L29" s="31"/>
      <c r="M29" s="31"/>
      <c r="N29" s="31"/>
      <c r="O29" s="31" t="e">
        <f>'11.Charges'!$D$40*'11.Charges'!$E$40*'10.Vente'!P$12</f>
        <v>#VALUE!</v>
      </c>
      <c r="P29" s="31" t="e">
        <f>'11.Charges'!$D$40*'11.Charges'!$E$40*'10.Vente'!P$12</f>
        <v>#VALUE!</v>
      </c>
      <c r="Q29" s="31" t="e">
        <f>'11.Charges'!$D$40*'11.Charges'!$E$40*'10.Vente'!Q$12</f>
        <v>#VALUE!</v>
      </c>
      <c r="R29" s="31" t="e">
        <f>'11.Charges'!$D$40*'11.Charges'!$E$40*'10.Vente'!R$12</f>
        <v>#VALUE!</v>
      </c>
    </row>
    <row r="30" spans="1:18">
      <c r="O30" s="1"/>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3E8D-F385-44D3-8D72-ED556787B663}">
  <sheetPr>
    <tabColor rgb="FFC00000"/>
  </sheetPr>
  <dimension ref="A1:R14"/>
  <sheetViews>
    <sheetView workbookViewId="0">
      <selection activeCell="B4" sqref="B4:B14"/>
    </sheetView>
  </sheetViews>
  <sheetFormatPr baseColWidth="10" defaultColWidth="10.83203125" defaultRowHeight="13"/>
  <cols>
    <col min="1" max="1" width="21.83203125" style="24" bestFit="1" customWidth="1"/>
    <col min="2" max="2" width="7" style="24" bestFit="1" customWidth="1"/>
    <col min="3" max="3" width="6.5" style="24" customWidth="1"/>
    <col min="4" max="18" width="3.6640625" style="24" customWidth="1"/>
    <col min="19" max="16384" width="10.83203125" style="24"/>
  </cols>
  <sheetData>
    <row r="1" spans="1:18" ht="14">
      <c r="A1" s="124" t="s">
        <v>356</v>
      </c>
    </row>
    <row r="2" spans="1:18">
      <c r="D2" s="30" t="s">
        <v>87</v>
      </c>
      <c r="E2" s="30"/>
      <c r="F2" s="30"/>
      <c r="G2" s="30"/>
      <c r="H2" s="30"/>
      <c r="I2" s="30"/>
      <c r="J2" s="30"/>
      <c r="K2" s="30"/>
      <c r="L2" s="30"/>
      <c r="M2" s="30"/>
      <c r="N2" s="30"/>
      <c r="O2" s="30"/>
      <c r="P2" s="32" t="s">
        <v>86</v>
      </c>
      <c r="Q2" s="32"/>
      <c r="R2" s="32"/>
    </row>
    <row r="3" spans="1:18">
      <c r="A3" s="27" t="s">
        <v>43</v>
      </c>
      <c r="B3" s="33" t="s">
        <v>44</v>
      </c>
      <c r="C3" s="33" t="s">
        <v>163</v>
      </c>
      <c r="D3" s="123">
        <v>1</v>
      </c>
      <c r="E3" s="123">
        <v>2</v>
      </c>
      <c r="F3" s="123">
        <v>3</v>
      </c>
      <c r="G3" s="123">
        <v>4</v>
      </c>
      <c r="H3" s="123">
        <v>5</v>
      </c>
      <c r="I3" s="123">
        <v>6</v>
      </c>
      <c r="J3" s="123">
        <v>7</v>
      </c>
      <c r="K3" s="123">
        <v>8</v>
      </c>
      <c r="L3" s="123">
        <v>9</v>
      </c>
      <c r="M3" s="123">
        <v>10</v>
      </c>
      <c r="N3" s="123">
        <v>11</v>
      </c>
      <c r="O3" s="123">
        <v>12</v>
      </c>
      <c r="P3" s="123" t="s">
        <v>68</v>
      </c>
      <c r="Q3" s="123" t="s">
        <v>69</v>
      </c>
      <c r="R3" s="123" t="s">
        <v>70</v>
      </c>
    </row>
    <row r="4" spans="1:18">
      <c r="A4" s="26" t="s">
        <v>59</v>
      </c>
      <c r="B4" s="31" t="str">
        <f>'11.Charges'!B29</f>
        <v>Sponsoring page réseaux sociaux</v>
      </c>
      <c r="C4" s="31" t="str">
        <f>'11.Charges'!C29</f>
        <v>MKT1</v>
      </c>
      <c r="D4" s="118">
        <v>1</v>
      </c>
      <c r="E4" s="118"/>
      <c r="F4" s="118"/>
      <c r="G4" s="118"/>
      <c r="H4" s="118"/>
      <c r="I4" s="118"/>
      <c r="J4" s="118"/>
      <c r="K4" s="118"/>
      <c r="L4" s="118"/>
      <c r="M4" s="118"/>
      <c r="N4" s="118"/>
      <c r="O4" s="118"/>
      <c r="P4" s="118">
        <v>1</v>
      </c>
      <c r="Q4" s="118">
        <v>1</v>
      </c>
      <c r="R4" s="118">
        <v>1</v>
      </c>
    </row>
    <row r="5" spans="1:18">
      <c r="A5" s="26" t="s">
        <v>48</v>
      </c>
      <c r="B5" s="31" t="str">
        <f>'11.Charges'!B30</f>
        <v>Frais administration</v>
      </c>
      <c r="C5" s="31" t="str">
        <f>'11.Charges'!C30</f>
        <v>FG1</v>
      </c>
      <c r="D5" s="118">
        <v>1</v>
      </c>
      <c r="E5" s="118">
        <v>1</v>
      </c>
      <c r="F5" s="118">
        <v>1</v>
      </c>
      <c r="G5" s="118">
        <v>1</v>
      </c>
      <c r="H5" s="118">
        <v>1</v>
      </c>
      <c r="I5" s="118">
        <v>1</v>
      </c>
      <c r="J5" s="118">
        <v>1</v>
      </c>
      <c r="K5" s="118">
        <v>1</v>
      </c>
      <c r="L5" s="118">
        <v>1</v>
      </c>
      <c r="M5" s="118">
        <v>1</v>
      </c>
      <c r="N5" s="118">
        <v>1</v>
      </c>
      <c r="O5" s="118">
        <v>1</v>
      </c>
      <c r="P5" s="118">
        <v>1</v>
      </c>
      <c r="Q5" s="118">
        <v>1</v>
      </c>
      <c r="R5" s="118">
        <v>1</v>
      </c>
    </row>
    <row r="6" spans="1:18">
      <c r="A6" s="26" t="s">
        <v>50</v>
      </c>
      <c r="B6" s="31" t="str">
        <f>'11.Charges'!B31</f>
        <v>Eau</v>
      </c>
      <c r="C6" s="31" t="str">
        <f>'11.Charges'!C31</f>
        <v>EEE1</v>
      </c>
      <c r="D6" s="118">
        <v>1</v>
      </c>
      <c r="E6" s="118">
        <v>1</v>
      </c>
      <c r="F6" s="118">
        <v>1</v>
      </c>
      <c r="G6" s="118">
        <v>1</v>
      </c>
      <c r="H6" s="118">
        <v>1</v>
      </c>
      <c r="I6" s="118">
        <v>1</v>
      </c>
      <c r="J6" s="118">
        <v>1</v>
      </c>
      <c r="K6" s="118">
        <v>1</v>
      </c>
      <c r="L6" s="118">
        <v>1</v>
      </c>
      <c r="M6" s="118">
        <v>1</v>
      </c>
      <c r="N6" s="118">
        <v>1</v>
      </c>
      <c r="O6" s="118">
        <v>1</v>
      </c>
      <c r="P6" s="118">
        <v>1</v>
      </c>
      <c r="Q6" s="118">
        <v>1</v>
      </c>
      <c r="R6" s="118">
        <v>1</v>
      </c>
    </row>
    <row r="7" spans="1:18">
      <c r="A7" s="26" t="s">
        <v>51</v>
      </c>
      <c r="B7" s="31" t="str">
        <f>'11.Charges'!B32</f>
        <v>Carburant</v>
      </c>
      <c r="C7" s="31" t="str">
        <f>'11.Charges'!C32</f>
        <v>FT1</v>
      </c>
      <c r="D7" s="118">
        <v>1</v>
      </c>
      <c r="E7" s="118">
        <v>1</v>
      </c>
      <c r="F7" s="118">
        <v>1</v>
      </c>
      <c r="G7" s="118">
        <v>1</v>
      </c>
      <c r="H7" s="118">
        <v>1</v>
      </c>
      <c r="I7" s="118">
        <v>1</v>
      </c>
      <c r="J7" s="118">
        <v>1</v>
      </c>
      <c r="K7" s="118">
        <v>1</v>
      </c>
      <c r="L7" s="118">
        <v>1</v>
      </c>
      <c r="M7" s="118">
        <v>1</v>
      </c>
      <c r="N7" s="118">
        <v>1</v>
      </c>
      <c r="O7" s="118">
        <v>1</v>
      </c>
      <c r="P7" s="118">
        <v>1</v>
      </c>
      <c r="Q7" s="118">
        <v>1</v>
      </c>
      <c r="R7" s="118">
        <v>1</v>
      </c>
    </row>
    <row r="8" spans="1:18">
      <c r="A8" s="26" t="s">
        <v>52</v>
      </c>
      <c r="B8" s="31" t="str">
        <f>'11.Charges'!B33</f>
        <v>Telephone / Internet</v>
      </c>
      <c r="C8" s="31" t="str">
        <f>'11.Charges'!C33</f>
        <v>MKT2</v>
      </c>
      <c r="D8" s="118">
        <v>1</v>
      </c>
      <c r="E8" s="118">
        <v>1</v>
      </c>
      <c r="F8" s="118">
        <v>1</v>
      </c>
      <c r="G8" s="118">
        <v>1</v>
      </c>
      <c r="H8" s="118">
        <v>1</v>
      </c>
      <c r="I8" s="118">
        <v>1</v>
      </c>
      <c r="J8" s="118">
        <v>1</v>
      </c>
      <c r="K8" s="118">
        <v>1</v>
      </c>
      <c r="L8" s="118">
        <v>1</v>
      </c>
      <c r="M8" s="118">
        <v>1</v>
      </c>
      <c r="N8" s="118">
        <v>1</v>
      </c>
      <c r="O8" s="118">
        <v>1</v>
      </c>
      <c r="P8" s="118">
        <v>1</v>
      </c>
      <c r="Q8" s="118">
        <v>1</v>
      </c>
      <c r="R8" s="118">
        <v>1</v>
      </c>
    </row>
    <row r="9" spans="1:18">
      <c r="A9" s="26" t="s">
        <v>53</v>
      </c>
      <c r="B9" s="31">
        <f>'11.Charges'!B34</f>
        <v>0</v>
      </c>
      <c r="C9" s="31" t="str">
        <f>'11.Charges'!C34</f>
        <v>FKT3</v>
      </c>
      <c r="D9" s="118">
        <v>1</v>
      </c>
      <c r="E9" s="118">
        <v>1</v>
      </c>
      <c r="F9" s="118">
        <v>1</v>
      </c>
      <c r="G9" s="118">
        <v>1</v>
      </c>
      <c r="H9" s="118">
        <v>1</v>
      </c>
      <c r="I9" s="118">
        <v>1</v>
      </c>
      <c r="J9" s="118">
        <v>1</v>
      </c>
      <c r="K9" s="118">
        <v>1</v>
      </c>
      <c r="L9" s="118">
        <v>1</v>
      </c>
      <c r="M9" s="118">
        <v>1</v>
      </c>
      <c r="N9" s="118">
        <v>1</v>
      </c>
      <c r="O9" s="118">
        <v>1</v>
      </c>
      <c r="P9" s="118">
        <v>1</v>
      </c>
      <c r="Q9" s="118">
        <v>1</v>
      </c>
      <c r="R9" s="118">
        <v>1</v>
      </c>
    </row>
    <row r="10" spans="1:18">
      <c r="A10" s="26" t="s">
        <v>54</v>
      </c>
      <c r="B10" s="31" t="str">
        <f>'11.Charges'!B35</f>
        <v>Loyer</v>
      </c>
      <c r="C10" s="31" t="str">
        <f>'11.Charges'!C35</f>
        <v>LOC1</v>
      </c>
      <c r="D10" s="118">
        <v>1</v>
      </c>
      <c r="E10" s="118">
        <v>1</v>
      </c>
      <c r="F10" s="118">
        <v>1</v>
      </c>
      <c r="G10" s="118">
        <v>1</v>
      </c>
      <c r="H10" s="118">
        <v>1</v>
      </c>
      <c r="I10" s="118">
        <v>1</v>
      </c>
      <c r="J10" s="118">
        <v>1</v>
      </c>
      <c r="K10" s="118">
        <v>1</v>
      </c>
      <c r="L10" s="118">
        <v>1</v>
      </c>
      <c r="M10" s="118">
        <v>1</v>
      </c>
      <c r="N10" s="118">
        <v>1</v>
      </c>
      <c r="O10" s="118">
        <v>1</v>
      </c>
      <c r="P10" s="118">
        <v>1</v>
      </c>
      <c r="Q10" s="118">
        <v>1</v>
      </c>
      <c r="R10" s="118">
        <v>1</v>
      </c>
    </row>
    <row r="11" spans="1:18">
      <c r="A11" s="26" t="s">
        <v>55</v>
      </c>
      <c r="B11" s="31" t="str">
        <f>'11.Charges'!B36</f>
        <v>Assurance voiture</v>
      </c>
      <c r="C11" s="31" t="str">
        <f>'11.Charges'!C36</f>
        <v>ASS1</v>
      </c>
      <c r="D11" s="118">
        <v>1</v>
      </c>
      <c r="E11" s="118">
        <v>1</v>
      </c>
      <c r="F11" s="118">
        <v>1</v>
      </c>
      <c r="G11" s="118">
        <v>1</v>
      </c>
      <c r="H11" s="118">
        <v>1</v>
      </c>
      <c r="I11" s="118">
        <v>1</v>
      </c>
      <c r="J11" s="118">
        <v>1</v>
      </c>
      <c r="K11" s="118">
        <v>1</v>
      </c>
      <c r="L11" s="118">
        <v>1</v>
      </c>
      <c r="M11" s="118">
        <v>1</v>
      </c>
      <c r="N11" s="118">
        <v>1</v>
      </c>
      <c r="O11" s="118">
        <v>1</v>
      </c>
      <c r="P11" s="118">
        <v>1</v>
      </c>
      <c r="Q11" s="118">
        <v>1</v>
      </c>
      <c r="R11" s="118">
        <v>1</v>
      </c>
    </row>
    <row r="12" spans="1:18">
      <c r="A12" s="26" t="s">
        <v>56</v>
      </c>
      <c r="B12" s="31" t="str">
        <f>'11.Charges'!B37</f>
        <v>Frais Infogérance</v>
      </c>
      <c r="C12" s="31" t="str">
        <f>'11.Charges'!C37</f>
        <v>PH1</v>
      </c>
      <c r="D12" s="118">
        <v>1</v>
      </c>
      <c r="E12" s="118"/>
      <c r="F12" s="118"/>
      <c r="G12" s="118"/>
      <c r="H12" s="118"/>
      <c r="I12" s="118"/>
      <c r="J12" s="118"/>
      <c r="K12" s="118"/>
      <c r="L12" s="118"/>
      <c r="M12" s="118"/>
      <c r="N12" s="118"/>
      <c r="O12" s="118"/>
      <c r="P12" s="118">
        <v>1</v>
      </c>
      <c r="Q12" s="118">
        <v>1</v>
      </c>
      <c r="R12" s="118">
        <v>1</v>
      </c>
    </row>
    <row r="13" spans="1:18">
      <c r="A13" s="26" t="s">
        <v>57</v>
      </c>
      <c r="B13" s="31">
        <f>'11.Charges'!B38</f>
        <v>0</v>
      </c>
      <c r="C13" s="31" t="str">
        <f>'11.Charges'!C38</f>
        <v>APR1</v>
      </c>
      <c r="D13" s="118">
        <v>1</v>
      </c>
      <c r="E13" s="118"/>
      <c r="F13" s="118"/>
      <c r="G13" s="118"/>
      <c r="H13" s="118"/>
      <c r="I13" s="118"/>
      <c r="J13" s="118"/>
      <c r="K13" s="118"/>
      <c r="L13" s="118"/>
      <c r="M13" s="118"/>
      <c r="N13" s="118"/>
      <c r="O13" s="118"/>
      <c r="P13" s="118">
        <v>1</v>
      </c>
      <c r="Q13" s="118">
        <v>1</v>
      </c>
      <c r="R13" s="118">
        <v>1</v>
      </c>
    </row>
    <row r="14" spans="1:18">
      <c r="A14" s="26" t="s">
        <v>100</v>
      </c>
      <c r="B14" s="31">
        <f>'11.Charges'!B39</f>
        <v>0</v>
      </c>
      <c r="C14" s="31" t="str">
        <f>'11.Charges'!C39</f>
        <v>AMR2</v>
      </c>
      <c r="D14" s="118"/>
      <c r="E14" s="118"/>
      <c r="F14" s="118"/>
      <c r="G14" s="118"/>
      <c r="H14" s="118"/>
      <c r="I14" s="118"/>
      <c r="J14" s="118"/>
      <c r="K14" s="118"/>
      <c r="L14" s="118"/>
      <c r="M14" s="118"/>
      <c r="N14" s="118"/>
      <c r="O14" s="118">
        <v>1</v>
      </c>
      <c r="P14" s="118">
        <v>1</v>
      </c>
      <c r="Q14" s="118">
        <v>1</v>
      </c>
      <c r="R14" s="11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8278-3F68-47AC-A8FD-5A61BA309776}">
  <sheetPr>
    <tabColor rgb="FFC00000"/>
  </sheetPr>
  <dimension ref="A1:R14"/>
  <sheetViews>
    <sheetView workbookViewId="0">
      <selection activeCell="R4" sqref="R4"/>
    </sheetView>
  </sheetViews>
  <sheetFormatPr baseColWidth="10" defaultColWidth="10.83203125" defaultRowHeight="13"/>
  <cols>
    <col min="1" max="1" width="21.83203125" style="24" bestFit="1" customWidth="1"/>
    <col min="2" max="2" width="7" style="24" bestFit="1" customWidth="1"/>
    <col min="3" max="3" width="7" style="24" customWidth="1"/>
    <col min="4" max="4" width="8.83203125" style="24" bestFit="1" customWidth="1"/>
    <col min="5" max="15" width="7.33203125" style="24" bestFit="1" customWidth="1"/>
    <col min="16" max="18" width="8.83203125" style="24" bestFit="1" customWidth="1"/>
    <col min="19" max="16384" width="10.83203125" style="24"/>
  </cols>
  <sheetData>
    <row r="1" spans="1:18" ht="14">
      <c r="A1" s="124" t="s">
        <v>355</v>
      </c>
    </row>
    <row r="2" spans="1:18">
      <c r="D2" s="30" t="s">
        <v>87</v>
      </c>
      <c r="E2" s="30"/>
      <c r="F2" s="30"/>
      <c r="G2" s="30"/>
      <c r="H2" s="30"/>
      <c r="I2" s="30"/>
      <c r="J2" s="30"/>
      <c r="K2" s="30"/>
      <c r="L2" s="30"/>
      <c r="M2" s="30"/>
      <c r="N2" s="30"/>
      <c r="O2" s="30"/>
      <c r="P2" s="32" t="s">
        <v>86</v>
      </c>
      <c r="Q2" s="32"/>
      <c r="R2" s="32"/>
    </row>
    <row r="3" spans="1:18">
      <c r="A3" s="27" t="s">
        <v>43</v>
      </c>
      <c r="B3" s="33" t="s">
        <v>44</v>
      </c>
      <c r="C3" s="33" t="s">
        <v>163</v>
      </c>
      <c r="D3" s="33">
        <v>1</v>
      </c>
      <c r="E3" s="33">
        <v>2</v>
      </c>
      <c r="F3" s="33">
        <v>3</v>
      </c>
      <c r="G3" s="33">
        <v>4</v>
      </c>
      <c r="H3" s="33">
        <v>5</v>
      </c>
      <c r="I3" s="33">
        <v>6</v>
      </c>
      <c r="J3" s="33">
        <v>7</v>
      </c>
      <c r="K3" s="33">
        <v>8</v>
      </c>
      <c r="L3" s="33">
        <v>9</v>
      </c>
      <c r="M3" s="33">
        <v>10</v>
      </c>
      <c r="N3" s="33">
        <v>11</v>
      </c>
      <c r="O3" s="33">
        <v>12</v>
      </c>
      <c r="P3" s="34" t="s">
        <v>68</v>
      </c>
      <c r="Q3" s="34" t="s">
        <v>69</v>
      </c>
      <c r="R3" s="34" t="s">
        <v>70</v>
      </c>
    </row>
    <row r="4" spans="1:18">
      <c r="A4" s="26" t="str">
        <f>'11.Charges'!A29</f>
        <v>Action commerciale</v>
      </c>
      <c r="B4" s="26" t="str">
        <f>'11.Charges'!B29</f>
        <v>Sponsoring page réseaux sociaux</v>
      </c>
      <c r="C4" s="26" t="str">
        <f>'11.Charges'!C29</f>
        <v>MKT1</v>
      </c>
      <c r="D4" s="31">
        <f>'11.Charges'!$D29*'11.Charges'!$E29*'13.Var.Char.Ind'!D4</f>
        <v>1900000</v>
      </c>
      <c r="E4" s="31">
        <f>'11.Charges'!$D29*'11.Charges'!$E29*'13.Var.Char.Ind'!E4</f>
        <v>0</v>
      </c>
      <c r="F4" s="31">
        <f>'11.Charges'!$D29*'11.Charges'!$E29*'13.Var.Char.Ind'!F4</f>
        <v>0</v>
      </c>
      <c r="G4" s="31">
        <f>'11.Charges'!$D29*'11.Charges'!$E29*'13.Var.Char.Ind'!G4</f>
        <v>0</v>
      </c>
      <c r="H4" s="31">
        <f>'11.Charges'!$D29*'11.Charges'!$E29*'13.Var.Char.Ind'!H4</f>
        <v>0</v>
      </c>
      <c r="I4" s="31">
        <f>'11.Charges'!$D29*'11.Charges'!$E29*'13.Var.Char.Ind'!I4</f>
        <v>0</v>
      </c>
      <c r="J4" s="31">
        <f>'11.Charges'!$D29*'11.Charges'!$E29*'13.Var.Char.Ind'!J4</f>
        <v>0</v>
      </c>
      <c r="K4" s="31">
        <f>'11.Charges'!$D29*'11.Charges'!$E29*'13.Var.Char.Ind'!K4</f>
        <v>0</v>
      </c>
      <c r="L4" s="31">
        <f>'11.Charges'!$D29*'11.Charges'!$E29*'13.Var.Char.Ind'!L4</f>
        <v>0</v>
      </c>
      <c r="M4" s="31">
        <f>'11.Charges'!$D29*'11.Charges'!$E29*'13.Var.Char.Ind'!M4</f>
        <v>0</v>
      </c>
      <c r="N4" s="31">
        <f>'11.Charges'!$D29*'11.Charges'!$E29*'13.Var.Char.Ind'!N4</f>
        <v>0</v>
      </c>
      <c r="O4" s="31">
        <f>'11.Charges'!$D29*'11.Charges'!$E29*'13.Var.Char.Ind'!O4</f>
        <v>0</v>
      </c>
      <c r="P4" s="31">
        <f>SUM(D4:O4)</f>
        <v>1900000</v>
      </c>
      <c r="Q4" s="31">
        <f>P4*'13.Var.Char.Ind'!Q4</f>
        <v>1900000</v>
      </c>
      <c r="R4" s="31">
        <f>Q4*'13.Var.Char.Ind'!R4</f>
        <v>1900000</v>
      </c>
    </row>
    <row r="5" spans="1:18">
      <c r="A5" s="26" t="str">
        <f>'11.Charges'!A30</f>
        <v xml:space="preserve">Frais Généraux </v>
      </c>
      <c r="B5" s="26" t="str">
        <f>'11.Charges'!B30</f>
        <v>Frais administration</v>
      </c>
      <c r="C5" s="26" t="str">
        <f>'11.Charges'!C30</f>
        <v>FG1</v>
      </c>
      <c r="D5" s="31">
        <f>'11.Charges'!$D30*'11.Charges'!$E30*'13.Var.Char.Ind'!D5</f>
        <v>25000</v>
      </c>
      <c r="E5" s="31">
        <f>'11.Charges'!$D30*'11.Charges'!$E30*'13.Var.Char.Ind'!E5</f>
        <v>25000</v>
      </c>
      <c r="F5" s="31">
        <f>'11.Charges'!$D30*'11.Charges'!$E30*'13.Var.Char.Ind'!F5</f>
        <v>25000</v>
      </c>
      <c r="G5" s="31">
        <f>'11.Charges'!$D30*'11.Charges'!$E30*'13.Var.Char.Ind'!G5</f>
        <v>25000</v>
      </c>
      <c r="H5" s="31">
        <f>'11.Charges'!$D30*'11.Charges'!$E30*'13.Var.Char.Ind'!H5</f>
        <v>25000</v>
      </c>
      <c r="I5" s="31">
        <f>'11.Charges'!$D30*'11.Charges'!$E30*'13.Var.Char.Ind'!I5</f>
        <v>25000</v>
      </c>
      <c r="J5" s="31">
        <f>'11.Charges'!$D30*'11.Charges'!$E30*'13.Var.Char.Ind'!J5</f>
        <v>25000</v>
      </c>
      <c r="K5" s="31">
        <f>'11.Charges'!$D30*'11.Charges'!$E30*'13.Var.Char.Ind'!K5</f>
        <v>25000</v>
      </c>
      <c r="L5" s="31">
        <f>'11.Charges'!$D30*'11.Charges'!$E30*'13.Var.Char.Ind'!L5</f>
        <v>25000</v>
      </c>
      <c r="M5" s="31">
        <f>'11.Charges'!$D30*'11.Charges'!$E30*'13.Var.Char.Ind'!M5</f>
        <v>25000</v>
      </c>
      <c r="N5" s="31">
        <f>'11.Charges'!$D30*'11.Charges'!$E30*'13.Var.Char.Ind'!N5</f>
        <v>25000</v>
      </c>
      <c r="O5" s="31">
        <f>'11.Charges'!$D30*'11.Charges'!$E30*'13.Var.Char.Ind'!O5</f>
        <v>25000</v>
      </c>
      <c r="P5" s="31">
        <f t="shared" ref="P5:P13" si="0">SUM(D5:O5)</f>
        <v>300000</v>
      </c>
      <c r="Q5" s="31">
        <f>P5*'13.Var.Char.Ind'!Q5</f>
        <v>300000</v>
      </c>
      <c r="R5" s="31">
        <f>Q5*'13.Var.Char.Ind'!R5</f>
        <v>300000</v>
      </c>
    </row>
    <row r="6" spans="1:18">
      <c r="A6" s="26" t="str">
        <f>'11.Charges'!A31</f>
        <v>Energie/Electricité/ Eau</v>
      </c>
      <c r="B6" s="26" t="str">
        <f>'11.Charges'!B31</f>
        <v>Eau</v>
      </c>
      <c r="C6" s="26" t="str">
        <f>'11.Charges'!C31</f>
        <v>EEE1</v>
      </c>
      <c r="D6" s="31">
        <f>'11.Charges'!$D31*'11.Charges'!$E31*'13.Var.Char.Ind'!D6</f>
        <v>82500</v>
      </c>
      <c r="E6" s="31">
        <f>'11.Charges'!$D31*'11.Charges'!$E31*'13.Var.Char.Ind'!E6</f>
        <v>82500</v>
      </c>
      <c r="F6" s="31">
        <f>'11.Charges'!$D31*'11.Charges'!$E31*'13.Var.Char.Ind'!F6</f>
        <v>82500</v>
      </c>
      <c r="G6" s="31">
        <f>'11.Charges'!$D31*'11.Charges'!$E31*'13.Var.Char.Ind'!G6</f>
        <v>82500</v>
      </c>
      <c r="H6" s="31">
        <f>'11.Charges'!$D31*'11.Charges'!$E31*'13.Var.Char.Ind'!H6</f>
        <v>82500</v>
      </c>
      <c r="I6" s="31">
        <f>'11.Charges'!$D31*'11.Charges'!$E31*'13.Var.Char.Ind'!I6</f>
        <v>82500</v>
      </c>
      <c r="J6" s="31">
        <f>'11.Charges'!$D31*'11.Charges'!$E31*'13.Var.Char.Ind'!J6</f>
        <v>82500</v>
      </c>
      <c r="K6" s="31">
        <f>'11.Charges'!$D31*'11.Charges'!$E31*'13.Var.Char.Ind'!K6</f>
        <v>82500</v>
      </c>
      <c r="L6" s="31">
        <f>'11.Charges'!$D31*'11.Charges'!$E31*'13.Var.Char.Ind'!L6</f>
        <v>82500</v>
      </c>
      <c r="M6" s="31">
        <f>'11.Charges'!$D31*'11.Charges'!$E31*'13.Var.Char.Ind'!M6</f>
        <v>82500</v>
      </c>
      <c r="N6" s="31">
        <f>'11.Charges'!$D31*'11.Charges'!$E31*'13.Var.Char.Ind'!N6</f>
        <v>82500</v>
      </c>
      <c r="O6" s="31">
        <f>'11.Charges'!$D31*'11.Charges'!$E31*'13.Var.Char.Ind'!O6</f>
        <v>82500</v>
      </c>
      <c r="P6" s="31">
        <f t="shared" si="0"/>
        <v>990000</v>
      </c>
      <c r="Q6" s="31">
        <f>P6*'13.Var.Char.Ind'!Q6</f>
        <v>990000</v>
      </c>
      <c r="R6" s="31">
        <f>Q6*'13.Var.Char.Ind'!R6</f>
        <v>990000</v>
      </c>
    </row>
    <row r="7" spans="1:18">
      <c r="A7" s="26" t="str">
        <f>'11.Charges'!A32</f>
        <v xml:space="preserve">Frais de transport </v>
      </c>
      <c r="B7" s="26" t="str">
        <f>'11.Charges'!B32</f>
        <v>Carburant</v>
      </c>
      <c r="C7" s="26" t="str">
        <f>'11.Charges'!C32</f>
        <v>FT1</v>
      </c>
      <c r="D7" s="31">
        <f>'11.Charges'!$D32*'11.Charges'!$E32*'13.Var.Char.Ind'!D7</f>
        <v>50000</v>
      </c>
      <c r="E7" s="31">
        <f>'11.Charges'!$D32*'11.Charges'!$E32*'13.Var.Char.Ind'!E7</f>
        <v>50000</v>
      </c>
      <c r="F7" s="31">
        <f>'11.Charges'!$D32*'11.Charges'!$E32*'13.Var.Char.Ind'!F7</f>
        <v>50000</v>
      </c>
      <c r="G7" s="31">
        <f>'11.Charges'!$D32*'11.Charges'!$E32*'13.Var.Char.Ind'!G7</f>
        <v>50000</v>
      </c>
      <c r="H7" s="31">
        <f>'11.Charges'!$D32*'11.Charges'!$E32*'13.Var.Char.Ind'!H7</f>
        <v>50000</v>
      </c>
      <c r="I7" s="31">
        <f>'11.Charges'!$D32*'11.Charges'!$E32*'13.Var.Char.Ind'!I7</f>
        <v>50000</v>
      </c>
      <c r="J7" s="31">
        <f>'11.Charges'!$D32*'11.Charges'!$E32*'13.Var.Char.Ind'!J7</f>
        <v>50000</v>
      </c>
      <c r="K7" s="31">
        <f>'11.Charges'!$D32*'11.Charges'!$E32*'13.Var.Char.Ind'!K7</f>
        <v>50000</v>
      </c>
      <c r="L7" s="31">
        <f>'11.Charges'!$D32*'11.Charges'!$E32*'13.Var.Char.Ind'!L7</f>
        <v>50000</v>
      </c>
      <c r="M7" s="31">
        <f>'11.Charges'!$D32*'11.Charges'!$E32*'13.Var.Char.Ind'!M7</f>
        <v>50000</v>
      </c>
      <c r="N7" s="31">
        <f>'11.Charges'!$D32*'11.Charges'!$E32*'13.Var.Char.Ind'!N7</f>
        <v>50000</v>
      </c>
      <c r="O7" s="31">
        <f>'11.Charges'!$D32*'11.Charges'!$E32*'13.Var.Char.Ind'!O7</f>
        <v>50000</v>
      </c>
      <c r="P7" s="31">
        <f t="shared" si="0"/>
        <v>600000</v>
      </c>
      <c r="Q7" s="31">
        <f>P7*'13.Var.Char.Ind'!Q7</f>
        <v>600000</v>
      </c>
      <c r="R7" s="31">
        <f>Q7*'13.Var.Char.Ind'!R7</f>
        <v>600000</v>
      </c>
    </row>
    <row r="8" spans="1:18">
      <c r="A8" s="26" t="str">
        <f>'11.Charges'!A33</f>
        <v>Frais de communication</v>
      </c>
      <c r="B8" s="26" t="str">
        <f>'11.Charges'!B33</f>
        <v>Telephone / Internet</v>
      </c>
      <c r="C8" s="26" t="str">
        <f>'11.Charges'!C33</f>
        <v>MKT2</v>
      </c>
      <c r="D8" s="31">
        <f>'11.Charges'!$D33*'11.Charges'!$E33*'13.Var.Char.Ind'!D8</f>
        <v>50000</v>
      </c>
      <c r="E8" s="31">
        <f>'11.Charges'!$D33*'11.Charges'!$E33*'13.Var.Char.Ind'!E8</f>
        <v>50000</v>
      </c>
      <c r="F8" s="31">
        <f>'11.Charges'!$D33*'11.Charges'!$E33*'13.Var.Char.Ind'!F8</f>
        <v>50000</v>
      </c>
      <c r="G8" s="31">
        <f>'11.Charges'!$D33*'11.Charges'!$E33*'13.Var.Char.Ind'!G8</f>
        <v>50000</v>
      </c>
      <c r="H8" s="31">
        <f>'11.Charges'!$D33*'11.Charges'!$E33*'13.Var.Char.Ind'!H8</f>
        <v>50000</v>
      </c>
      <c r="I8" s="31">
        <f>'11.Charges'!$D33*'11.Charges'!$E33*'13.Var.Char.Ind'!I8</f>
        <v>50000</v>
      </c>
      <c r="J8" s="31">
        <f>'11.Charges'!$D33*'11.Charges'!$E33*'13.Var.Char.Ind'!J8</f>
        <v>50000</v>
      </c>
      <c r="K8" s="31">
        <f>'11.Charges'!$D33*'11.Charges'!$E33*'13.Var.Char.Ind'!K8</f>
        <v>50000</v>
      </c>
      <c r="L8" s="31">
        <f>'11.Charges'!$D33*'11.Charges'!$E33*'13.Var.Char.Ind'!L8</f>
        <v>50000</v>
      </c>
      <c r="M8" s="31">
        <f>'11.Charges'!$D33*'11.Charges'!$E33*'13.Var.Char.Ind'!M8</f>
        <v>50000</v>
      </c>
      <c r="N8" s="31">
        <f>'11.Charges'!$D33*'11.Charges'!$E33*'13.Var.Char.Ind'!N8</f>
        <v>50000</v>
      </c>
      <c r="O8" s="31">
        <f>'11.Charges'!$D33*'11.Charges'!$E33*'13.Var.Char.Ind'!O8</f>
        <v>50000</v>
      </c>
      <c r="P8" s="31">
        <f t="shared" si="0"/>
        <v>600000</v>
      </c>
      <c r="Q8" s="31">
        <f>P8*'13.Var.Char.Ind'!Q8</f>
        <v>600000</v>
      </c>
      <c r="R8" s="31">
        <f>Q8*'13.Var.Char.Ind'!R8</f>
        <v>600000</v>
      </c>
    </row>
    <row r="9" spans="1:18">
      <c r="A9" s="26" t="str">
        <f>'11.Charges'!A34</f>
        <v xml:space="preserve">Publicité et Marketing </v>
      </c>
      <c r="B9" s="26">
        <f>'11.Charges'!B34</f>
        <v>0</v>
      </c>
      <c r="C9" s="26" t="str">
        <f>'11.Charges'!C34</f>
        <v>FKT3</v>
      </c>
      <c r="D9" s="31">
        <f>'11.Charges'!$D34*'11.Charges'!$E34*'13.Var.Char.Ind'!D9</f>
        <v>0</v>
      </c>
      <c r="E9" s="31">
        <f>'11.Charges'!$D34*'11.Charges'!$E34*'13.Var.Char.Ind'!E9</f>
        <v>0</v>
      </c>
      <c r="F9" s="31">
        <f>'11.Charges'!$D34*'11.Charges'!$E34*'13.Var.Char.Ind'!F9</f>
        <v>0</v>
      </c>
      <c r="G9" s="31">
        <f>'11.Charges'!$D34*'11.Charges'!$E34*'13.Var.Char.Ind'!G9</f>
        <v>0</v>
      </c>
      <c r="H9" s="31">
        <f>'11.Charges'!$D34*'11.Charges'!$E34*'13.Var.Char.Ind'!H9</f>
        <v>0</v>
      </c>
      <c r="I9" s="31">
        <f>'11.Charges'!$D34*'11.Charges'!$E34*'13.Var.Char.Ind'!I9</f>
        <v>0</v>
      </c>
      <c r="J9" s="31">
        <f>'11.Charges'!$D34*'11.Charges'!$E34*'13.Var.Char.Ind'!J9</f>
        <v>0</v>
      </c>
      <c r="K9" s="31">
        <f>'11.Charges'!$D34*'11.Charges'!$E34*'13.Var.Char.Ind'!K9</f>
        <v>0</v>
      </c>
      <c r="L9" s="31">
        <f>'11.Charges'!$D34*'11.Charges'!$E34*'13.Var.Char.Ind'!L9</f>
        <v>0</v>
      </c>
      <c r="M9" s="31">
        <f>'11.Charges'!$D34*'11.Charges'!$E34*'13.Var.Char.Ind'!M9</f>
        <v>0</v>
      </c>
      <c r="N9" s="31">
        <f>'11.Charges'!$D34*'11.Charges'!$E34*'13.Var.Char.Ind'!N9</f>
        <v>0</v>
      </c>
      <c r="O9" s="31">
        <f>'11.Charges'!$D34*'11.Charges'!$E34*'13.Var.Char.Ind'!O9</f>
        <v>0</v>
      </c>
      <c r="P9" s="31">
        <f t="shared" si="0"/>
        <v>0</v>
      </c>
      <c r="Q9" s="31">
        <f>P9*'13.Var.Char.Ind'!Q9</f>
        <v>0</v>
      </c>
      <c r="R9" s="31">
        <f>Q9*'13.Var.Char.Ind'!R9</f>
        <v>0</v>
      </c>
    </row>
    <row r="10" spans="1:18">
      <c r="A10" s="26" t="str">
        <f>'11.Charges'!A35</f>
        <v>Location</v>
      </c>
      <c r="B10" s="26" t="str">
        <f>'11.Charges'!B35</f>
        <v>Loyer</v>
      </c>
      <c r="C10" s="26" t="str">
        <f>'11.Charges'!C35</f>
        <v>LOC1</v>
      </c>
      <c r="D10" s="31">
        <f>'11.Charges'!$D35*'11.Charges'!$E35*'13.Var.Char.Ind'!D10</f>
        <v>250000</v>
      </c>
      <c r="E10" s="31">
        <f>'11.Charges'!$D35*'11.Charges'!$E35*'13.Var.Char.Ind'!E10</f>
        <v>250000</v>
      </c>
      <c r="F10" s="31">
        <f>'11.Charges'!$D35*'11.Charges'!$E35*'13.Var.Char.Ind'!F10</f>
        <v>250000</v>
      </c>
      <c r="G10" s="31">
        <f>'11.Charges'!$D35*'11.Charges'!$E35*'13.Var.Char.Ind'!G10</f>
        <v>250000</v>
      </c>
      <c r="H10" s="31">
        <f>'11.Charges'!$D35*'11.Charges'!$E35*'13.Var.Char.Ind'!H10</f>
        <v>250000</v>
      </c>
      <c r="I10" s="31">
        <f>'11.Charges'!$D35*'11.Charges'!$E35*'13.Var.Char.Ind'!I10</f>
        <v>250000</v>
      </c>
      <c r="J10" s="31">
        <f>'11.Charges'!$D35*'11.Charges'!$E35*'13.Var.Char.Ind'!J10</f>
        <v>250000</v>
      </c>
      <c r="K10" s="31">
        <f>'11.Charges'!$D35*'11.Charges'!$E35*'13.Var.Char.Ind'!K10</f>
        <v>250000</v>
      </c>
      <c r="L10" s="31">
        <f>'11.Charges'!$D35*'11.Charges'!$E35*'13.Var.Char.Ind'!L10</f>
        <v>250000</v>
      </c>
      <c r="M10" s="31">
        <f>'11.Charges'!$D35*'11.Charges'!$E35*'13.Var.Char.Ind'!M10</f>
        <v>250000</v>
      </c>
      <c r="N10" s="31">
        <f>'11.Charges'!$D35*'11.Charges'!$E35*'13.Var.Char.Ind'!N10</f>
        <v>250000</v>
      </c>
      <c r="O10" s="31">
        <f>'11.Charges'!$D35*'11.Charges'!$E35*'13.Var.Char.Ind'!O10</f>
        <v>250000</v>
      </c>
      <c r="P10" s="31">
        <f t="shared" si="0"/>
        <v>3000000</v>
      </c>
      <c r="Q10" s="31">
        <f>P10*'13.Var.Char.Ind'!Q10</f>
        <v>3000000</v>
      </c>
      <c r="R10" s="31">
        <f>Q10*'13.Var.Char.Ind'!R10</f>
        <v>3000000</v>
      </c>
    </row>
    <row r="11" spans="1:18">
      <c r="A11" s="26" t="str">
        <f>'11.Charges'!A36</f>
        <v>Assurance</v>
      </c>
      <c r="B11" s="26" t="str">
        <f>'11.Charges'!B36</f>
        <v>Assurance voiture</v>
      </c>
      <c r="C11" s="26" t="str">
        <f>'11.Charges'!C36</f>
        <v>ASS1</v>
      </c>
      <c r="D11" s="31">
        <f>'11.Charges'!$D36*'11.Charges'!$E36*'13.Var.Char.Ind'!D11</f>
        <v>12000</v>
      </c>
      <c r="E11" s="31">
        <f>'11.Charges'!$D36*'11.Charges'!$E36*'13.Var.Char.Ind'!E11</f>
        <v>12000</v>
      </c>
      <c r="F11" s="31">
        <f>'11.Charges'!$D36*'11.Charges'!$E36*'13.Var.Char.Ind'!F11</f>
        <v>12000</v>
      </c>
      <c r="G11" s="31">
        <f>'11.Charges'!$D36*'11.Charges'!$E36*'13.Var.Char.Ind'!G11</f>
        <v>12000</v>
      </c>
      <c r="H11" s="31">
        <f>'11.Charges'!$D36*'11.Charges'!$E36*'13.Var.Char.Ind'!H11</f>
        <v>12000</v>
      </c>
      <c r="I11" s="31">
        <f>'11.Charges'!$D36*'11.Charges'!$E36*'13.Var.Char.Ind'!I11</f>
        <v>12000</v>
      </c>
      <c r="J11" s="31">
        <f>'11.Charges'!$D36*'11.Charges'!$E36*'13.Var.Char.Ind'!J11</f>
        <v>12000</v>
      </c>
      <c r="K11" s="31">
        <f>'11.Charges'!$D36*'11.Charges'!$E36*'13.Var.Char.Ind'!K11</f>
        <v>12000</v>
      </c>
      <c r="L11" s="31">
        <f>'11.Charges'!$D36*'11.Charges'!$E36*'13.Var.Char.Ind'!L11</f>
        <v>12000</v>
      </c>
      <c r="M11" s="31">
        <f>'11.Charges'!$D36*'11.Charges'!$E36*'13.Var.Char.Ind'!M11</f>
        <v>12000</v>
      </c>
      <c r="N11" s="31">
        <f>'11.Charges'!$D36*'11.Charges'!$E36*'13.Var.Char.Ind'!N11</f>
        <v>12000</v>
      </c>
      <c r="O11" s="31">
        <f>'11.Charges'!$D36*'11.Charges'!$E36*'13.Var.Char.Ind'!O11</f>
        <v>12000</v>
      </c>
      <c r="P11" s="31">
        <f t="shared" si="0"/>
        <v>144000</v>
      </c>
      <c r="Q11" s="31">
        <f>P11*'13.Var.Char.Ind'!Q11</f>
        <v>144000</v>
      </c>
      <c r="R11" s="31">
        <f>Q11*'13.Var.Char.Ind'!R11</f>
        <v>144000</v>
      </c>
    </row>
    <row r="12" spans="1:18">
      <c r="A12" s="26" t="str">
        <f>'11.Charges'!A37</f>
        <v xml:space="preserve">Prestations et Honoraires </v>
      </c>
      <c r="B12" s="26" t="str">
        <f>'11.Charges'!B37</f>
        <v>Frais Infogérance</v>
      </c>
      <c r="C12" s="26" t="str">
        <f>'11.Charges'!C37</f>
        <v>PH1</v>
      </c>
      <c r="D12" s="31">
        <f>'11.Charges'!$D37*'11.Charges'!$E37*'13.Var.Char.Ind'!D12</f>
        <v>380000</v>
      </c>
      <c r="E12" s="31">
        <f>'11.Charges'!$D37*'11.Charges'!$E37*'13.Var.Char.Ind'!E12</f>
        <v>0</v>
      </c>
      <c r="F12" s="31">
        <f>'11.Charges'!$D37*'11.Charges'!$E37*'13.Var.Char.Ind'!F12</f>
        <v>0</v>
      </c>
      <c r="G12" s="31">
        <f>'11.Charges'!$D37*'11.Charges'!$E37*'13.Var.Char.Ind'!G12</f>
        <v>0</v>
      </c>
      <c r="H12" s="31">
        <f>'11.Charges'!$D37*'11.Charges'!$E37*'13.Var.Char.Ind'!H12</f>
        <v>0</v>
      </c>
      <c r="I12" s="31">
        <f>'11.Charges'!$D37*'11.Charges'!$E37*'13.Var.Char.Ind'!I12</f>
        <v>0</v>
      </c>
      <c r="J12" s="31">
        <f>'11.Charges'!$D37*'11.Charges'!$E37*'13.Var.Char.Ind'!J12</f>
        <v>0</v>
      </c>
      <c r="K12" s="31">
        <f>'11.Charges'!$D37*'11.Charges'!$E37*'13.Var.Char.Ind'!K12</f>
        <v>0</v>
      </c>
      <c r="L12" s="31">
        <f>'11.Charges'!$D37*'11.Charges'!$E37*'13.Var.Char.Ind'!L12</f>
        <v>0</v>
      </c>
      <c r="M12" s="31">
        <f>'11.Charges'!$D37*'11.Charges'!$E37*'13.Var.Char.Ind'!M12</f>
        <v>0</v>
      </c>
      <c r="N12" s="31">
        <f>'11.Charges'!$D37*'11.Charges'!$E37*'13.Var.Char.Ind'!N12</f>
        <v>0</v>
      </c>
      <c r="O12" s="31">
        <f>'11.Charges'!$D37*'11.Charges'!$E37*'13.Var.Char.Ind'!O12</f>
        <v>0</v>
      </c>
      <c r="P12" s="31">
        <f t="shared" si="0"/>
        <v>380000</v>
      </c>
      <c r="Q12" s="31">
        <f>P12*'13.Var.Char.Ind'!Q12</f>
        <v>380000</v>
      </c>
      <c r="R12" s="31">
        <f>Q12*'13.Var.Char.Ind'!R12</f>
        <v>380000</v>
      </c>
    </row>
    <row r="13" spans="1:18">
      <c r="A13" s="26" t="str">
        <f>'11.Charges'!A38</f>
        <v xml:space="preserve">Autres provisions </v>
      </c>
      <c r="B13" s="26">
        <f>'11.Charges'!B38</f>
        <v>0</v>
      </c>
      <c r="C13" s="26" t="str">
        <f>'11.Charges'!C38</f>
        <v>APR1</v>
      </c>
      <c r="D13" s="31">
        <f>'11.Charges'!$D38*'11.Charges'!$E38*'13.Var.Char.Ind'!D13</f>
        <v>0</v>
      </c>
      <c r="E13" s="31">
        <f>'11.Charges'!$D38*'11.Charges'!$E38*'13.Var.Char.Ind'!E13</f>
        <v>0</v>
      </c>
      <c r="F13" s="31">
        <f>'11.Charges'!$D38*'11.Charges'!$E38*'13.Var.Char.Ind'!F13</f>
        <v>0</v>
      </c>
      <c r="G13" s="31">
        <f>'11.Charges'!$D38*'11.Charges'!$E38*'13.Var.Char.Ind'!G13</f>
        <v>0</v>
      </c>
      <c r="H13" s="31">
        <f>'11.Charges'!$D38*'11.Charges'!$E38*'13.Var.Char.Ind'!H13</f>
        <v>0</v>
      </c>
      <c r="I13" s="31">
        <f>'11.Charges'!$D38*'11.Charges'!$E38*'13.Var.Char.Ind'!I13</f>
        <v>0</v>
      </c>
      <c r="J13" s="31">
        <f>'11.Charges'!$D38*'11.Charges'!$E38*'13.Var.Char.Ind'!J13</f>
        <v>0</v>
      </c>
      <c r="K13" s="31">
        <f>'11.Charges'!$D38*'11.Charges'!$E38*'13.Var.Char.Ind'!K13</f>
        <v>0</v>
      </c>
      <c r="L13" s="31">
        <f>'11.Charges'!$D38*'11.Charges'!$E38*'13.Var.Char.Ind'!L13</f>
        <v>0</v>
      </c>
      <c r="M13" s="31">
        <f>'11.Charges'!$D38*'11.Charges'!$E38*'13.Var.Char.Ind'!M13</f>
        <v>0</v>
      </c>
      <c r="N13" s="31">
        <f>'11.Charges'!$D38*'11.Charges'!$E38*'13.Var.Char.Ind'!N13</f>
        <v>0</v>
      </c>
      <c r="O13" s="31">
        <f>'11.Charges'!$D38*'11.Charges'!$E38*'13.Var.Char.Ind'!O13</f>
        <v>0</v>
      </c>
      <c r="P13" s="31">
        <f t="shared" si="0"/>
        <v>0</v>
      </c>
      <c r="Q13" s="31">
        <f>P13*'13.Var.Char.Ind'!Q13</f>
        <v>0</v>
      </c>
      <c r="R13" s="31">
        <f>Q13*'13.Var.Char.Ind'!R13</f>
        <v>0</v>
      </c>
    </row>
    <row r="14" spans="1:18">
      <c r="A14" s="26" t="str">
        <f>'11.Charges'!A39</f>
        <v>Amortissement Bureau</v>
      </c>
      <c r="B14" s="26">
        <f>'11.Charges'!B39</f>
        <v>0</v>
      </c>
      <c r="C14" s="26" t="str">
        <f>'11.Charges'!C39</f>
        <v>AMR2</v>
      </c>
      <c r="D14" s="31" t="e">
        <f>'11.Charges'!$D39*'11.Charges'!$E39*'13.Var.Char.Ind'!D14*'7.Bud.Inv.'!E22</f>
        <v>#VALUE!</v>
      </c>
      <c r="E14" s="31" t="e">
        <f>'11.Charges'!$D39*'11.Charges'!$E39*'13.Var.Char.Ind'!E14*'7.Bud.Inv.'!F22</f>
        <v>#VALUE!</v>
      </c>
      <c r="F14" s="31" t="e">
        <f>'11.Charges'!$D39*'11.Charges'!$E39*'13.Var.Char.Ind'!F14*'7.Bud.Inv.'!G22</f>
        <v>#VALUE!</v>
      </c>
      <c r="G14" s="31" t="e">
        <f>'11.Charges'!$D39*'11.Charges'!$E39*'13.Var.Char.Ind'!G14*'7.Bud.Inv.'!H22</f>
        <v>#VALUE!</v>
      </c>
      <c r="H14" s="31" t="e">
        <f>'11.Charges'!$D39*'11.Charges'!$E39*'13.Var.Char.Ind'!H14*'7.Bud.Inv.'!I22</f>
        <v>#VALUE!</v>
      </c>
      <c r="I14" s="31" t="e">
        <f>'11.Charges'!$D39*'11.Charges'!$E39*'13.Var.Char.Ind'!I14*'7.Bud.Inv.'!J22</f>
        <v>#VALUE!</v>
      </c>
      <c r="J14" s="31" t="e">
        <f>'11.Charges'!$D39*'11.Charges'!$E39*'13.Var.Char.Ind'!J14*'7.Bud.Inv.'!K22</f>
        <v>#VALUE!</v>
      </c>
      <c r="K14" s="31" t="e">
        <f>'11.Charges'!$D39*'11.Charges'!$E39*'13.Var.Char.Ind'!K14*'7.Bud.Inv.'!L22</f>
        <v>#VALUE!</v>
      </c>
      <c r="L14" s="31" t="e">
        <f>'11.Charges'!$D39*'11.Charges'!$E39*'13.Var.Char.Ind'!L14*'7.Bud.Inv.'!M22</f>
        <v>#VALUE!</v>
      </c>
      <c r="M14" s="31" t="e">
        <f>'11.Charges'!$D39*'11.Charges'!$E39*'13.Var.Char.Ind'!M14*'7.Bud.Inv.'!N22</f>
        <v>#VALUE!</v>
      </c>
      <c r="N14" s="31" t="e">
        <f>'11.Charges'!$D39*'11.Charges'!$E39*'13.Var.Char.Ind'!N14*'7.Bud.Inv.'!O22</f>
        <v>#VALUE!</v>
      </c>
      <c r="O14" s="31" t="e">
        <f>'11.Charges'!$D39*'11.Charges'!$E39*'13.Var.Char.Ind'!O14*'7.Bud.Inv.'!P22</f>
        <v>#VALUE!</v>
      </c>
      <c r="P14" s="31">
        <f>'11.Charges'!$D39*'11.Charges'!$E39*'13.Var.Char.Ind'!P14</f>
        <v>0</v>
      </c>
      <c r="Q14" s="31" t="e">
        <f>'11.Charges'!$D39*'11.Charges'!$E39*'13.Var.Char.Ind'!Q14*'7.Bud.Inv.'!R22+P14</f>
        <v>#VALUE!</v>
      </c>
      <c r="R14" s="31" t="e">
        <f>'11.Charges'!$D39*'11.Charges'!$E39*'13.Var.Char.Ind'!R14*'7.Bud.Inv.'!S22+Q14</f>
        <v>#VALUE!</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02BA-C831-4486-9390-59DE9E301274}">
  <sheetPr>
    <tabColor rgb="FF7030A0"/>
  </sheetPr>
  <dimension ref="A1:N26"/>
  <sheetViews>
    <sheetView workbookViewId="0">
      <selection activeCell="L25" sqref="L25"/>
    </sheetView>
  </sheetViews>
  <sheetFormatPr baseColWidth="10" defaultRowHeight="15"/>
  <cols>
    <col min="1" max="1" width="38.83203125" bestFit="1" customWidth="1"/>
    <col min="2" max="2" width="5.1640625" bestFit="1" customWidth="1"/>
    <col min="3" max="10" width="8.6640625" bestFit="1" customWidth="1"/>
    <col min="11" max="14" width="9.5" bestFit="1" customWidth="1"/>
  </cols>
  <sheetData>
    <row r="1" spans="1:14">
      <c r="A1" s="124" t="s">
        <v>354</v>
      </c>
      <c r="B1" s="124"/>
    </row>
    <row r="2" spans="1:14" ht="16" thickBot="1"/>
    <row r="3" spans="1:14" ht="16" thickBot="1">
      <c r="A3" s="41"/>
      <c r="B3" s="41"/>
      <c r="C3" s="42" t="s">
        <v>102</v>
      </c>
      <c r="D3" s="43"/>
      <c r="E3" s="43"/>
      <c r="F3" s="43"/>
      <c r="G3" s="43"/>
      <c r="H3" s="43"/>
      <c r="I3" s="43"/>
      <c r="J3" s="43"/>
      <c r="K3" s="43"/>
      <c r="L3" s="43"/>
      <c r="M3" s="43"/>
      <c r="N3" s="44"/>
    </row>
    <row r="4" spans="1:14" ht="16" thickBot="1">
      <c r="A4" s="45" t="s">
        <v>9</v>
      </c>
      <c r="B4" s="127"/>
      <c r="C4" s="46">
        <v>1</v>
      </c>
      <c r="D4" s="47">
        <v>2</v>
      </c>
      <c r="E4" s="47">
        <v>3</v>
      </c>
      <c r="F4" s="47">
        <v>4</v>
      </c>
      <c r="G4" s="47">
        <v>5</v>
      </c>
      <c r="H4" s="47">
        <v>6</v>
      </c>
      <c r="I4" s="47">
        <v>7</v>
      </c>
      <c r="J4" s="47">
        <v>8</v>
      </c>
      <c r="K4" s="47">
        <v>9</v>
      </c>
      <c r="L4" s="47">
        <v>10</v>
      </c>
      <c r="M4" s="47">
        <v>11</v>
      </c>
      <c r="N4" s="48">
        <v>12</v>
      </c>
    </row>
    <row r="5" spans="1:14" ht="16" thickBot="1">
      <c r="A5" s="49" t="s">
        <v>130</v>
      </c>
      <c r="B5" s="49" t="s">
        <v>163</v>
      </c>
      <c r="C5" s="50">
        <v>0</v>
      </c>
      <c r="D5" s="51" t="e">
        <f>C25</f>
        <v>#VALUE!</v>
      </c>
      <c r="E5" s="51" t="e">
        <f t="shared" ref="E5:N5" si="0">D25</f>
        <v>#VALUE!</v>
      </c>
      <c r="F5" s="51" t="e">
        <f t="shared" si="0"/>
        <v>#VALUE!</v>
      </c>
      <c r="G5" s="51" t="e">
        <f t="shared" si="0"/>
        <v>#VALUE!</v>
      </c>
      <c r="H5" s="51" t="e">
        <f t="shared" si="0"/>
        <v>#VALUE!</v>
      </c>
      <c r="I5" s="51" t="e">
        <f t="shared" si="0"/>
        <v>#VALUE!</v>
      </c>
      <c r="J5" s="51" t="e">
        <f t="shared" si="0"/>
        <v>#VALUE!</v>
      </c>
      <c r="K5" s="51" t="e">
        <f t="shared" si="0"/>
        <v>#VALUE!</v>
      </c>
      <c r="L5" s="51" t="e">
        <f t="shared" si="0"/>
        <v>#VALUE!</v>
      </c>
      <c r="M5" s="51" t="e">
        <f t="shared" si="0"/>
        <v>#VALUE!</v>
      </c>
      <c r="N5" s="52" t="e">
        <f t="shared" si="0"/>
        <v>#VALUE!</v>
      </c>
    </row>
    <row r="6" spans="1:14" ht="16" thickBot="1">
      <c r="A6" s="53" t="s">
        <v>103</v>
      </c>
      <c r="B6" s="53"/>
      <c r="C6" s="54"/>
      <c r="D6" s="55"/>
      <c r="E6" s="55"/>
      <c r="F6" s="55"/>
      <c r="G6" s="55"/>
      <c r="H6" s="55"/>
      <c r="I6" s="55"/>
      <c r="J6" s="55"/>
      <c r="K6" s="55"/>
      <c r="L6" s="55"/>
      <c r="M6" s="55"/>
      <c r="N6" s="56"/>
    </row>
    <row r="7" spans="1:14" s="85" customFormat="1" ht="16" thickBot="1">
      <c r="A7" s="84" t="s">
        <v>116</v>
      </c>
      <c r="B7" s="128"/>
      <c r="C7" s="71">
        <f>'1.Var.Fin'!B5+'1.Var.Fin'!B11+'1.Var.Fin'!B17</f>
        <v>3775000.8717999998</v>
      </c>
      <c r="D7" s="72"/>
      <c r="E7" s="72"/>
      <c r="F7" s="72"/>
      <c r="G7" s="72"/>
      <c r="H7" s="72"/>
      <c r="I7" s="72"/>
      <c r="J7" s="72"/>
      <c r="K7" s="72"/>
      <c r="L7" s="72"/>
      <c r="M7" s="72"/>
      <c r="N7" s="73"/>
    </row>
    <row r="8" spans="1:14" s="85" customFormat="1" ht="16" thickBot="1">
      <c r="A8" s="84" t="s">
        <v>115</v>
      </c>
      <c r="B8" s="128"/>
      <c r="C8" s="71" t="e">
        <f>'10.Vente'!D12</f>
        <v>#VALUE!</v>
      </c>
      <c r="D8" s="72" t="e">
        <f>'10.Vente'!E12</f>
        <v>#VALUE!</v>
      </c>
      <c r="E8" s="72" t="e">
        <f>'10.Vente'!F12</f>
        <v>#VALUE!</v>
      </c>
      <c r="F8" s="72" t="e">
        <f>'10.Vente'!G12</f>
        <v>#VALUE!</v>
      </c>
      <c r="G8" s="72" t="e">
        <f>'10.Vente'!H12</f>
        <v>#VALUE!</v>
      </c>
      <c r="H8" s="72" t="e">
        <f>'10.Vente'!I12</f>
        <v>#VALUE!</v>
      </c>
      <c r="I8" s="72" t="e">
        <f>'10.Vente'!J12</f>
        <v>#VALUE!</v>
      </c>
      <c r="J8" s="72" t="e">
        <f>'10.Vente'!K12</f>
        <v>#VALUE!</v>
      </c>
      <c r="K8" s="72" t="e">
        <f>'10.Vente'!L12</f>
        <v>#VALUE!</v>
      </c>
      <c r="L8" s="72" t="e">
        <f>'10.Vente'!M12</f>
        <v>#VALUE!</v>
      </c>
      <c r="M8" s="72" t="e">
        <f>'10.Vente'!N12</f>
        <v>#VALUE!</v>
      </c>
      <c r="N8" s="73" t="e">
        <f>'10.Vente'!O12</f>
        <v>#VALUE!</v>
      </c>
    </row>
    <row r="9" spans="1:14" ht="16" thickBot="1">
      <c r="A9" s="57" t="s">
        <v>104</v>
      </c>
      <c r="B9" s="62"/>
      <c r="C9" s="58" t="e">
        <f>SUM(C7:C8)</f>
        <v>#VALUE!</v>
      </c>
      <c r="D9" s="59" t="e">
        <f t="shared" ref="D9:N9" si="1">SUM(D7:D8)</f>
        <v>#VALUE!</v>
      </c>
      <c r="E9" s="59" t="e">
        <f t="shared" si="1"/>
        <v>#VALUE!</v>
      </c>
      <c r="F9" s="59" t="e">
        <f t="shared" si="1"/>
        <v>#VALUE!</v>
      </c>
      <c r="G9" s="59" t="e">
        <f t="shared" si="1"/>
        <v>#VALUE!</v>
      </c>
      <c r="H9" s="59" t="e">
        <f t="shared" si="1"/>
        <v>#VALUE!</v>
      </c>
      <c r="I9" s="59" t="e">
        <f t="shared" si="1"/>
        <v>#VALUE!</v>
      </c>
      <c r="J9" s="59" t="e">
        <f t="shared" si="1"/>
        <v>#VALUE!</v>
      </c>
      <c r="K9" s="59" t="e">
        <f t="shared" si="1"/>
        <v>#VALUE!</v>
      </c>
      <c r="L9" s="59" t="e">
        <f t="shared" si="1"/>
        <v>#VALUE!</v>
      </c>
      <c r="M9" s="59" t="e">
        <f t="shared" si="1"/>
        <v>#VALUE!</v>
      </c>
      <c r="N9" s="60" t="e">
        <f t="shared" si="1"/>
        <v>#VALUE!</v>
      </c>
    </row>
    <row r="10" spans="1:14" ht="16" thickBot="1">
      <c r="A10" s="53" t="s">
        <v>105</v>
      </c>
      <c r="B10" s="53"/>
      <c r="C10" s="54"/>
      <c r="D10" s="55"/>
      <c r="E10" s="55"/>
      <c r="F10" s="55"/>
      <c r="G10" s="55"/>
      <c r="H10" s="55"/>
      <c r="I10" s="55"/>
      <c r="J10" s="55"/>
      <c r="K10" s="55"/>
      <c r="L10" s="55"/>
      <c r="M10" s="55"/>
      <c r="N10" s="56"/>
    </row>
    <row r="11" spans="1:14" ht="16" thickBot="1">
      <c r="A11" s="61" t="s">
        <v>106</v>
      </c>
      <c r="B11" s="61"/>
      <c r="C11" s="58" t="e">
        <f>'7.Bud.Inv.'!E22</f>
        <v>#VALUE!</v>
      </c>
      <c r="D11" s="59" t="e">
        <f>'7.Bud.Inv.'!F22</f>
        <v>#VALUE!</v>
      </c>
      <c r="E11" s="59" t="e">
        <f>'7.Bud.Inv.'!G22</f>
        <v>#VALUE!</v>
      </c>
      <c r="F11" s="59" t="e">
        <f>'7.Bud.Inv.'!H22</f>
        <v>#VALUE!</v>
      </c>
      <c r="G11" s="59" t="e">
        <f>'7.Bud.Inv.'!I22</f>
        <v>#VALUE!</v>
      </c>
      <c r="H11" s="59" t="e">
        <f>'7.Bud.Inv.'!J22</f>
        <v>#VALUE!</v>
      </c>
      <c r="I11" s="59" t="e">
        <f>'7.Bud.Inv.'!K22</f>
        <v>#VALUE!</v>
      </c>
      <c r="J11" s="59" t="e">
        <f>'7.Bud.Inv.'!L22</f>
        <v>#VALUE!</v>
      </c>
      <c r="K11" s="59" t="e">
        <f>'7.Bud.Inv.'!M22</f>
        <v>#VALUE!</v>
      </c>
      <c r="L11" s="59" t="e">
        <f>'7.Bud.Inv.'!N22</f>
        <v>#VALUE!</v>
      </c>
      <c r="M11" s="59" t="e">
        <f>'7.Bud.Inv.'!O22</f>
        <v>#VALUE!</v>
      </c>
      <c r="N11" s="60" t="e">
        <f>'7.Bud.Inv.'!P22</f>
        <v>#VALUE!</v>
      </c>
    </row>
    <row r="12" spans="1:14" ht="16" thickBot="1">
      <c r="A12" s="53" t="s">
        <v>117</v>
      </c>
      <c r="B12" s="53"/>
      <c r="C12" s="54"/>
      <c r="D12" s="55"/>
      <c r="E12" s="55"/>
      <c r="F12" s="55"/>
      <c r="G12" s="55"/>
      <c r="H12" s="55"/>
      <c r="I12" s="55"/>
      <c r="J12" s="55"/>
      <c r="K12" s="55"/>
      <c r="L12" s="55"/>
      <c r="M12" s="55"/>
      <c r="N12" s="56"/>
    </row>
    <row r="13" spans="1:14" ht="16" thickBot="1">
      <c r="A13" s="62" t="s">
        <v>118</v>
      </c>
      <c r="B13" s="62"/>
      <c r="C13" s="58">
        <f>SUM('12.Char.Dir'!D4:D25)</f>
        <v>1567500</v>
      </c>
      <c r="D13" s="59">
        <f>SUM('12.Char.Dir'!E4:E25)</f>
        <v>1567500</v>
      </c>
      <c r="E13" s="59">
        <f>SUM('12.Char.Dir'!F4:F25)</f>
        <v>1567500</v>
      </c>
      <c r="F13" s="59">
        <f>SUM('12.Char.Dir'!G4:G25)</f>
        <v>1567500</v>
      </c>
      <c r="G13" s="59">
        <f>SUM('12.Char.Dir'!H4:H25)</f>
        <v>1567500</v>
      </c>
      <c r="H13" s="59">
        <f>SUM('12.Char.Dir'!I4:I25)</f>
        <v>1567500</v>
      </c>
      <c r="I13" s="59">
        <f>SUM('12.Char.Dir'!J4:J25)</f>
        <v>1567500</v>
      </c>
      <c r="J13" s="59">
        <f>SUM('12.Char.Dir'!K4:K25)</f>
        <v>1567500</v>
      </c>
      <c r="K13" s="59">
        <f>SUM('12.Char.Dir'!L4:L25)</f>
        <v>1567500</v>
      </c>
      <c r="L13" s="59">
        <f>SUM('12.Char.Dir'!M4:M25)</f>
        <v>1567500</v>
      </c>
      <c r="M13" s="59">
        <f>SUM('12.Char.Dir'!N4:N25)</f>
        <v>1567500</v>
      </c>
      <c r="N13" s="60">
        <f>SUM('12.Char.Dir'!O4:O25)</f>
        <v>1567500</v>
      </c>
    </row>
    <row r="14" spans="1:14" ht="16" thickBot="1">
      <c r="A14" s="63" t="s">
        <v>107</v>
      </c>
      <c r="B14" s="63"/>
      <c r="C14" s="64"/>
      <c r="D14" s="65"/>
      <c r="E14" s="65"/>
      <c r="F14" s="65"/>
      <c r="G14" s="65"/>
      <c r="H14" s="65"/>
      <c r="I14" s="65"/>
      <c r="J14" s="65"/>
      <c r="K14" s="65"/>
      <c r="L14" s="65"/>
      <c r="M14" s="65"/>
      <c r="N14" s="66"/>
    </row>
    <row r="15" spans="1:14" s="85" customFormat="1">
      <c r="A15" s="67" t="s">
        <v>119</v>
      </c>
      <c r="B15" s="67"/>
      <c r="C15" s="68">
        <f>SUM('14.Char.Ind'!D4:D13)</f>
        <v>2749500</v>
      </c>
      <c r="D15" s="69">
        <f>SUM('14.Char.Ind'!E4:E13)</f>
        <v>469500</v>
      </c>
      <c r="E15" s="69">
        <f>SUM('14.Char.Ind'!F4:F13)</f>
        <v>469500</v>
      </c>
      <c r="F15" s="69">
        <f>SUM('14.Char.Ind'!G4:G13)</f>
        <v>469500</v>
      </c>
      <c r="G15" s="69">
        <f>SUM('14.Char.Ind'!H4:H13)</f>
        <v>469500</v>
      </c>
      <c r="H15" s="69">
        <f>SUM('14.Char.Ind'!I4:I13)</f>
        <v>469500</v>
      </c>
      <c r="I15" s="69">
        <f>SUM('14.Char.Ind'!J4:J13)</f>
        <v>469500</v>
      </c>
      <c r="J15" s="69">
        <f>SUM('14.Char.Ind'!K4:K13)</f>
        <v>469500</v>
      </c>
      <c r="K15" s="69">
        <f>SUM('14.Char.Ind'!L4:L13)</f>
        <v>469500</v>
      </c>
      <c r="L15" s="69">
        <f>SUM('14.Char.Ind'!M4:M13)</f>
        <v>469500</v>
      </c>
      <c r="M15" s="69">
        <f>SUM('14.Char.Ind'!N4:N13)</f>
        <v>469500</v>
      </c>
      <c r="N15" s="70">
        <f>SUM('14.Char.Ind'!O4:O13)</f>
        <v>469500</v>
      </c>
    </row>
    <row r="16" spans="1:14" s="85" customFormat="1">
      <c r="A16" s="67" t="s">
        <v>110</v>
      </c>
      <c r="B16" s="67"/>
      <c r="C16" s="68" t="e">
        <f>SUM('12.Char.Dir'!D26)</f>
        <v>#VALUE!</v>
      </c>
      <c r="D16" s="69" t="e">
        <f>SUM('12.Char.Dir'!E26)</f>
        <v>#VALUE!</v>
      </c>
      <c r="E16" s="69" t="e">
        <f>SUM('12.Char.Dir'!F26)</f>
        <v>#VALUE!</v>
      </c>
      <c r="F16" s="69" t="e">
        <f>SUM('12.Char.Dir'!G26)</f>
        <v>#VALUE!</v>
      </c>
      <c r="G16" s="69" t="e">
        <f>SUM('12.Char.Dir'!H26)</f>
        <v>#VALUE!</v>
      </c>
      <c r="H16" s="69" t="e">
        <f>SUM('12.Char.Dir'!I26)</f>
        <v>#VALUE!</v>
      </c>
      <c r="I16" s="69" t="e">
        <f>SUM('12.Char.Dir'!J26)</f>
        <v>#VALUE!</v>
      </c>
      <c r="J16" s="69" t="e">
        <f>SUM('12.Char.Dir'!K26)</f>
        <v>#VALUE!</v>
      </c>
      <c r="K16" s="69" t="e">
        <f>SUM('12.Char.Dir'!L26)</f>
        <v>#VALUE!</v>
      </c>
      <c r="L16" s="69" t="e">
        <f>SUM('12.Char.Dir'!M26)</f>
        <v>#VALUE!</v>
      </c>
      <c r="M16" s="69" t="e">
        <f>SUM('12.Char.Dir'!N26)</f>
        <v>#VALUE!</v>
      </c>
      <c r="N16" s="70" t="e">
        <f>SUM('12.Char.Dir'!O26)</f>
        <v>#VALUE!</v>
      </c>
    </row>
    <row r="17" spans="1:14" s="85" customFormat="1" ht="16" thickBot="1">
      <c r="A17" s="67" t="s">
        <v>120</v>
      </c>
      <c r="B17" s="67"/>
      <c r="C17" s="68" t="e">
        <f>SUM('12.Char.Dir'!D27:D28)</f>
        <v>#VALUE!</v>
      </c>
      <c r="D17" s="69" t="e">
        <f>SUM('12.Char.Dir'!E27:E28)</f>
        <v>#VALUE!</v>
      </c>
      <c r="E17" s="69" t="e">
        <f>SUM('12.Char.Dir'!F27:F28)</f>
        <v>#VALUE!</v>
      </c>
      <c r="F17" s="69" t="e">
        <f>SUM('12.Char.Dir'!G27:G28)</f>
        <v>#VALUE!</v>
      </c>
      <c r="G17" s="69" t="e">
        <f>SUM('12.Char.Dir'!H27:H28)</f>
        <v>#VALUE!</v>
      </c>
      <c r="H17" s="69" t="e">
        <f>SUM('12.Char.Dir'!I27:I28)</f>
        <v>#VALUE!</v>
      </c>
      <c r="I17" s="69" t="e">
        <f>SUM('12.Char.Dir'!J27:J28)</f>
        <v>#VALUE!</v>
      </c>
      <c r="J17" s="69" t="e">
        <f>SUM('12.Char.Dir'!K27:K28)</f>
        <v>#VALUE!</v>
      </c>
      <c r="K17" s="69" t="e">
        <f>SUM('12.Char.Dir'!L27:L28)</f>
        <v>#VALUE!</v>
      </c>
      <c r="L17" s="69" t="e">
        <f>SUM('12.Char.Dir'!M27:M28)</f>
        <v>#VALUE!</v>
      </c>
      <c r="M17" s="69" t="e">
        <f>SUM('12.Char.Dir'!N27:N28)</f>
        <v>#VALUE!</v>
      </c>
      <c r="N17" s="70" t="e">
        <f>SUM('12.Char.Dir'!O27:O28)</f>
        <v>#VALUE!</v>
      </c>
    </row>
    <row r="18" spans="1:14" ht="16" thickBot="1">
      <c r="A18" s="62" t="s">
        <v>121</v>
      </c>
      <c r="B18" s="62"/>
      <c r="C18" s="58" t="e">
        <f>SUM(C15:C17)</f>
        <v>#VALUE!</v>
      </c>
      <c r="D18" s="59" t="e">
        <f t="shared" ref="D18:N18" si="2">SUM(D15:D17)</f>
        <v>#VALUE!</v>
      </c>
      <c r="E18" s="59" t="e">
        <f t="shared" si="2"/>
        <v>#VALUE!</v>
      </c>
      <c r="F18" s="59" t="e">
        <f t="shared" si="2"/>
        <v>#VALUE!</v>
      </c>
      <c r="G18" s="59" t="e">
        <f t="shared" si="2"/>
        <v>#VALUE!</v>
      </c>
      <c r="H18" s="59" t="e">
        <f t="shared" si="2"/>
        <v>#VALUE!</v>
      </c>
      <c r="I18" s="59" t="e">
        <f t="shared" si="2"/>
        <v>#VALUE!</v>
      </c>
      <c r="J18" s="59" t="e">
        <f t="shared" si="2"/>
        <v>#VALUE!</v>
      </c>
      <c r="K18" s="59" t="e">
        <f t="shared" si="2"/>
        <v>#VALUE!</v>
      </c>
      <c r="L18" s="59" t="e">
        <f t="shared" si="2"/>
        <v>#VALUE!</v>
      </c>
      <c r="M18" s="59" t="e">
        <f t="shared" si="2"/>
        <v>#VALUE!</v>
      </c>
      <c r="N18" s="60" t="e">
        <f t="shared" si="2"/>
        <v>#VALUE!</v>
      </c>
    </row>
    <row r="19" spans="1:14">
      <c r="A19" s="74" t="s">
        <v>108</v>
      </c>
      <c r="B19" s="74"/>
      <c r="C19" s="71">
        <f>SUMIF('2.Cal.Amo.CT'!$A$10:$A$21,C$4,'2.Cal.Amo.CT'!$E$10:$E$21)</f>
        <v>288928.55592455424</v>
      </c>
      <c r="D19" s="72">
        <f>SUMIF('2.Cal.Amo.CT'!$A$10:$A$21,D$4,'2.Cal.Amo.CT'!$E$10:$E$21)</f>
        <v>292299.38907700736</v>
      </c>
      <c r="E19" s="72">
        <f>SUMIF('2.Cal.Amo.CT'!$A$10:$A$21,E$4,'2.Cal.Amo.CT'!$E$10:$E$21)</f>
        <v>295709.5486162391</v>
      </c>
      <c r="F19" s="72">
        <f>SUMIF('2.Cal.Amo.CT'!$A$10:$A$21,F$4,'2.Cal.Amo.CT'!$E$10:$E$21)</f>
        <v>299159.49335009523</v>
      </c>
      <c r="G19" s="72">
        <f>SUMIF('2.Cal.Amo.CT'!$A$10:$A$21,G$4,'2.Cal.Amo.CT'!$E$10:$E$21)</f>
        <v>302649.68743917969</v>
      </c>
      <c r="H19" s="72">
        <f>SUMIF('2.Cal.Amo.CT'!$A$10:$A$21,H$4,'2.Cal.Amo.CT'!$E$10:$E$21)</f>
        <v>306180.60045930347</v>
      </c>
      <c r="I19" s="72">
        <f>SUMIF('2.Cal.Amo.CT'!$A$10:$A$21,I$4,'2.Cal.Amo.CT'!$E$10:$E$21)</f>
        <v>309752.70746466197</v>
      </c>
      <c r="J19" s="72">
        <f>SUMIF('2.Cal.Amo.CT'!$A$10:$A$21,J$4,'2.Cal.Amo.CT'!$E$10:$E$21)</f>
        <v>313366.4890517497</v>
      </c>
      <c r="K19" s="72">
        <f>SUMIF('2.Cal.Amo.CT'!$A$10:$A$21,K$4,'2.Cal.Amo.CT'!$E$10:$E$21)</f>
        <v>317022.43142402015</v>
      </c>
      <c r="L19" s="72">
        <f>SUMIF('2.Cal.Amo.CT'!$A$10:$A$21,L$4,'2.Cal.Amo.CT'!$E$10:$E$21)</f>
        <v>320721.02645730035</v>
      </c>
      <c r="M19" s="72">
        <f>SUMIF('2.Cal.Amo.CT'!$A$10:$A$21,M$4,'2.Cal.Amo.CT'!$E$10:$E$21)</f>
        <v>324462.77176596888</v>
      </c>
      <c r="N19" s="73">
        <f>SUMIF('2.Cal.Amo.CT'!$A$10:$A$21,N$4,'2.Cal.Amo.CT'!$E$10:$E$21)</f>
        <v>328248.17076990515</v>
      </c>
    </row>
    <row r="20" spans="1:14">
      <c r="A20" s="74" t="s">
        <v>109</v>
      </c>
      <c r="B20" s="74"/>
      <c r="C20" s="71">
        <f>SUMIF('2.Cal.Amo.CT'!$A$10:$A$21,C$4,'2.Cal.Amo.CT'!$C$10:$C$21)</f>
        <v>43149.176837666666</v>
      </c>
      <c r="D20" s="72">
        <f>SUMIF('2.Cal.Amo.CT'!$A$10:$A$21,D$4,'2.Cal.Amo.CT'!$C$10:$C$21)</f>
        <v>39778.343685213535</v>
      </c>
      <c r="E20" s="72">
        <f>SUMIF('2.Cal.Amo.CT'!$A$10:$A$21,E$4,'2.Cal.Amo.CT'!$C$10:$C$21)</f>
        <v>36368.184145981781</v>
      </c>
      <c r="F20" s="72">
        <f>SUMIF('2.Cal.Amo.CT'!$A$10:$A$21,F$4,'2.Cal.Amo.CT'!$C$10:$C$21)</f>
        <v>32918.239412125651</v>
      </c>
      <c r="G20" s="72">
        <f>SUMIF('2.Cal.Amo.CT'!$A$10:$A$21,G$4,'2.Cal.Amo.CT'!$C$10:$C$21)</f>
        <v>29428.045323041213</v>
      </c>
      <c r="H20" s="72">
        <f>SUMIF('2.Cal.Amo.CT'!$A$10:$A$21,H$4,'2.Cal.Amo.CT'!$C$10:$C$21)</f>
        <v>25897.132302917449</v>
      </c>
      <c r="I20" s="72">
        <f>SUMIF('2.Cal.Amo.CT'!$A$10:$A$21,I$4,'2.Cal.Amo.CT'!$C$10:$C$21)</f>
        <v>22325.02529755891</v>
      </c>
      <c r="J20" s="72">
        <f>SUMIF('2.Cal.Amo.CT'!$A$10:$A$21,J$4,'2.Cal.Amo.CT'!$C$10:$C$21)</f>
        <v>18711.243710471186</v>
      </c>
      <c r="K20" s="72">
        <f>SUMIF('2.Cal.Amo.CT'!$A$10:$A$21,K$4,'2.Cal.Amo.CT'!$C$10:$C$21)</f>
        <v>15055.301338200774</v>
      </c>
      <c r="L20" s="72">
        <f>SUMIF('2.Cal.Amo.CT'!$A$10:$A$21,L$4,'2.Cal.Amo.CT'!$C$10:$C$21)</f>
        <v>11356.706304920539</v>
      </c>
      <c r="M20" s="72">
        <f>SUMIF('2.Cal.Amo.CT'!$A$10:$A$21,M$4,'2.Cal.Amo.CT'!$C$10:$C$21)</f>
        <v>7614.9609962520344</v>
      </c>
      <c r="N20" s="73">
        <f>SUMIF('2.Cal.Amo.CT'!$A$10:$A$21,N$4,'2.Cal.Amo.CT'!$C$10:$C$21)</f>
        <v>3829.5619923157305</v>
      </c>
    </row>
    <row r="21" spans="1:14">
      <c r="A21" s="74" t="s">
        <v>111</v>
      </c>
      <c r="B21" s="74"/>
      <c r="C21" s="71">
        <f>(SUMIF('3.Cal.Amo.LT'!$A:$A,"n",'3.Cal.Amo.LT'!$E:$E)+SUMIF('4.Cal.Amo.AI'!$A:$A,"n",'4.Cal.Amo.AI'!$E:$E))/12</f>
        <v>1944.724077971995</v>
      </c>
      <c r="D21" s="72">
        <f>(SUMIF('3.Cal.Amo.LT'!$A:$A,"n",'3.Cal.Amo.LT'!$E:$E)+SUMIF('4.Cal.Amo.AI'!$A:$A,"n",'4.Cal.Amo.AI'!$E:$E))/12</f>
        <v>1944.724077971995</v>
      </c>
      <c r="E21" s="72">
        <f>(SUMIF('3.Cal.Amo.LT'!$A:$A,"n",'3.Cal.Amo.LT'!$E:$E)+SUMIF('4.Cal.Amo.AI'!$A:$A,"n",'4.Cal.Amo.AI'!$E:$E))/12</f>
        <v>1944.724077971995</v>
      </c>
      <c r="F21" s="72">
        <f>(SUMIF('3.Cal.Amo.LT'!$A:$A,"n",'3.Cal.Amo.LT'!$E:$E)+SUMIF('4.Cal.Amo.AI'!$A:$A,"n",'4.Cal.Amo.AI'!$E:$E))/12</f>
        <v>1944.724077971995</v>
      </c>
      <c r="G21" s="72">
        <f>(SUMIF('3.Cal.Amo.LT'!$A:$A,"n",'3.Cal.Amo.LT'!$E:$E)+SUMIF('4.Cal.Amo.AI'!$A:$A,"n",'4.Cal.Amo.AI'!$E:$E))/12</f>
        <v>1944.724077971995</v>
      </c>
      <c r="H21" s="72">
        <f>(SUMIF('3.Cal.Amo.LT'!$A:$A,"n",'3.Cal.Amo.LT'!$E:$E)+SUMIF('4.Cal.Amo.AI'!$A:$A,"n",'4.Cal.Amo.AI'!$E:$E))/12</f>
        <v>1944.724077971995</v>
      </c>
      <c r="I21" s="72">
        <f>(SUMIF('3.Cal.Amo.LT'!$A:$A,"n",'3.Cal.Amo.LT'!$E:$E)+SUMIF('4.Cal.Amo.AI'!$A:$A,"n",'4.Cal.Amo.AI'!$E:$E))/12</f>
        <v>1944.724077971995</v>
      </c>
      <c r="J21" s="72">
        <f>(SUMIF('3.Cal.Amo.LT'!$A:$A,"n",'3.Cal.Amo.LT'!$E:$E)+SUMIF('4.Cal.Amo.AI'!$A:$A,"n",'4.Cal.Amo.AI'!$E:$E))/12</f>
        <v>1944.724077971995</v>
      </c>
      <c r="K21" s="72">
        <f>(SUMIF('3.Cal.Amo.LT'!$A:$A,"n",'3.Cal.Amo.LT'!$E:$E)+SUMIF('4.Cal.Amo.AI'!$A:$A,"n",'4.Cal.Amo.AI'!$E:$E))/12</f>
        <v>1944.724077971995</v>
      </c>
      <c r="L21" s="72">
        <f>(SUMIF('3.Cal.Amo.LT'!$A:$A,"n",'3.Cal.Amo.LT'!$E:$E)+SUMIF('4.Cal.Amo.AI'!$A:$A,"n",'4.Cal.Amo.AI'!$E:$E))/12</f>
        <v>1944.724077971995</v>
      </c>
      <c r="M21" s="72">
        <f>(SUMIF('3.Cal.Amo.LT'!$A:$A,"n",'3.Cal.Amo.LT'!$E:$E)+SUMIF('4.Cal.Amo.AI'!$A:$A,"n",'4.Cal.Amo.AI'!$E:$E))/12</f>
        <v>1944.724077971995</v>
      </c>
      <c r="N21" s="73">
        <f>(SUMIF('3.Cal.Amo.LT'!$A:$A,"n",'3.Cal.Amo.LT'!$E:$E)+SUMIF('4.Cal.Amo.AI'!$A:$A,"n",'4.Cal.Amo.AI'!$E:$E))/12</f>
        <v>1944.724077971995</v>
      </c>
    </row>
    <row r="22" spans="1:14" ht="16" thickBot="1">
      <c r="A22" s="74" t="s">
        <v>112</v>
      </c>
      <c r="B22" s="74"/>
      <c r="C22" s="71">
        <f>(SUMIF('3.Cal.Amo.LT'!$A:$A,"n",'3.Cal.Amo.LT'!$C:$C)+SUMIF('4.Cal.Amo.AI'!$A:$A,"n",'4.Cal.Amo.AI'!$C:$C))/12</f>
        <v>573.75</v>
      </c>
      <c r="D22" s="72">
        <f>(SUMIF('3.Cal.Amo.LT'!$A:$A,"n",'3.Cal.Amo.LT'!$C:$C)+SUMIF('4.Cal.Amo.AI'!$A:$A,"n",'4.Cal.Amo.AI'!$C:$C))/12</f>
        <v>573.75</v>
      </c>
      <c r="E22" s="72">
        <f>(SUMIF('3.Cal.Amo.LT'!$A:$A,"n",'3.Cal.Amo.LT'!$C:$C)+SUMIF('4.Cal.Amo.AI'!$A:$A,"n",'4.Cal.Amo.AI'!$C:$C))/12</f>
        <v>573.75</v>
      </c>
      <c r="F22" s="72">
        <f>(SUMIF('3.Cal.Amo.LT'!$A:$A,"n",'3.Cal.Amo.LT'!$C:$C)+SUMIF('4.Cal.Amo.AI'!$A:$A,"n",'4.Cal.Amo.AI'!$C:$C))/12</f>
        <v>573.75</v>
      </c>
      <c r="G22" s="72">
        <f>(SUMIF('3.Cal.Amo.LT'!$A:$A,"n",'3.Cal.Amo.LT'!$C:$C)+SUMIF('4.Cal.Amo.AI'!$A:$A,"n",'4.Cal.Amo.AI'!$C:$C))/12</f>
        <v>573.75</v>
      </c>
      <c r="H22" s="72">
        <f>(SUMIF('3.Cal.Amo.LT'!$A:$A,"n",'3.Cal.Amo.LT'!$C:$C)+SUMIF('4.Cal.Amo.AI'!$A:$A,"n",'4.Cal.Amo.AI'!$C:$C))/12</f>
        <v>573.75</v>
      </c>
      <c r="I22" s="72">
        <f>(SUMIF('3.Cal.Amo.LT'!$A:$A,"n",'3.Cal.Amo.LT'!$C:$C)+SUMIF('4.Cal.Amo.AI'!$A:$A,"n",'4.Cal.Amo.AI'!$C:$C))/12</f>
        <v>573.75</v>
      </c>
      <c r="J22" s="72">
        <f>(SUMIF('3.Cal.Amo.LT'!$A:$A,"n",'3.Cal.Amo.LT'!$C:$C)+SUMIF('4.Cal.Amo.AI'!$A:$A,"n",'4.Cal.Amo.AI'!$C:$C))/12</f>
        <v>573.75</v>
      </c>
      <c r="K22" s="72">
        <f>(SUMIF('3.Cal.Amo.LT'!$A:$A,"n",'3.Cal.Amo.LT'!$C:$C)+SUMIF('4.Cal.Amo.AI'!$A:$A,"n",'4.Cal.Amo.AI'!$C:$C))/12</f>
        <v>573.75</v>
      </c>
      <c r="L22" s="72">
        <f>(SUMIF('3.Cal.Amo.LT'!$A:$A,"n",'3.Cal.Amo.LT'!$C:$C)+SUMIF('4.Cal.Amo.AI'!$A:$A,"n",'4.Cal.Amo.AI'!$C:$C))/12</f>
        <v>573.75</v>
      </c>
      <c r="M22" s="72">
        <f>(SUMIF('3.Cal.Amo.LT'!$A:$A,"n",'3.Cal.Amo.LT'!$C:$C)+SUMIF('4.Cal.Amo.AI'!$A:$A,"n",'4.Cal.Amo.AI'!$C:$C))/12</f>
        <v>573.75</v>
      </c>
      <c r="N22" s="73">
        <f>(SUMIF('3.Cal.Amo.LT'!$A:$A,"n",'3.Cal.Amo.LT'!$C:$C)+SUMIF('4.Cal.Amo.AI'!$A:$A,"n",'4.Cal.Amo.AI'!$C:$C))/12</f>
        <v>573.75</v>
      </c>
    </row>
    <row r="23" spans="1:14" ht="16" thickBot="1">
      <c r="A23" s="62" t="s">
        <v>113</v>
      </c>
      <c r="B23" s="62"/>
      <c r="C23" s="58">
        <f>SUM(C19:C22)</f>
        <v>334596.2068401929</v>
      </c>
      <c r="D23" s="59">
        <f t="shared" ref="D23:N23" si="3">SUM(D19:D22)</f>
        <v>334596.2068401929</v>
      </c>
      <c r="E23" s="59">
        <f t="shared" si="3"/>
        <v>334596.2068401929</v>
      </c>
      <c r="F23" s="59">
        <f t="shared" si="3"/>
        <v>334596.2068401929</v>
      </c>
      <c r="G23" s="59">
        <f t="shared" si="3"/>
        <v>334596.2068401929</v>
      </c>
      <c r="H23" s="59">
        <f t="shared" si="3"/>
        <v>334596.2068401929</v>
      </c>
      <c r="I23" s="59">
        <f t="shared" si="3"/>
        <v>334596.2068401929</v>
      </c>
      <c r="J23" s="59">
        <f t="shared" si="3"/>
        <v>334596.2068401929</v>
      </c>
      <c r="K23" s="59">
        <f t="shared" si="3"/>
        <v>334596.2068401929</v>
      </c>
      <c r="L23" s="59">
        <f t="shared" si="3"/>
        <v>334596.2068401929</v>
      </c>
      <c r="M23" s="59">
        <f t="shared" si="3"/>
        <v>334596.2068401929</v>
      </c>
      <c r="N23" s="60">
        <f t="shared" si="3"/>
        <v>334596.2068401929</v>
      </c>
    </row>
    <row r="24" spans="1:14">
      <c r="A24" s="75" t="s">
        <v>114</v>
      </c>
      <c r="B24" s="129"/>
      <c r="C24" s="76" t="e">
        <f>C11+C13+C18+C23</f>
        <v>#VALUE!</v>
      </c>
      <c r="D24" s="77">
        <v>17850148.87353136</v>
      </c>
      <c r="E24" s="77">
        <v>5922813.8735313602</v>
      </c>
      <c r="F24" s="77">
        <v>5922813.8735313602</v>
      </c>
      <c r="G24" s="78">
        <v>5922813.8735313602</v>
      </c>
      <c r="H24" s="77">
        <v>5922813.8735313602</v>
      </c>
      <c r="I24" s="77">
        <v>5922813.8735313602</v>
      </c>
      <c r="J24" s="77">
        <v>5922813.8735313602</v>
      </c>
      <c r="K24" s="77">
        <v>5922813.8735313602</v>
      </c>
      <c r="L24" s="77">
        <v>5922813.8735313602</v>
      </c>
      <c r="M24" s="77">
        <v>5922813.8735313602</v>
      </c>
      <c r="N24" s="79">
        <v>14421022.395026499</v>
      </c>
    </row>
    <row r="25" spans="1:14" ht="16" thickBot="1">
      <c r="A25" s="80" t="s">
        <v>122</v>
      </c>
      <c r="B25" s="80"/>
      <c r="C25" s="81" t="e">
        <f>C5+C9-C24</f>
        <v>#VALUE!</v>
      </c>
      <c r="D25" s="82" t="e">
        <f t="shared" ref="D25:N25" si="4">D5+D9-D24</f>
        <v>#VALUE!</v>
      </c>
      <c r="E25" s="82" t="e">
        <f t="shared" si="4"/>
        <v>#VALUE!</v>
      </c>
      <c r="F25" s="82" t="e">
        <f t="shared" si="4"/>
        <v>#VALUE!</v>
      </c>
      <c r="G25" s="82" t="e">
        <f t="shared" si="4"/>
        <v>#VALUE!</v>
      </c>
      <c r="H25" s="82" t="e">
        <f t="shared" si="4"/>
        <v>#VALUE!</v>
      </c>
      <c r="I25" s="82" t="e">
        <f t="shared" si="4"/>
        <v>#VALUE!</v>
      </c>
      <c r="J25" s="82" t="e">
        <f t="shared" si="4"/>
        <v>#VALUE!</v>
      </c>
      <c r="K25" s="82" t="e">
        <f t="shared" si="4"/>
        <v>#VALUE!</v>
      </c>
      <c r="L25" s="82" t="e">
        <f t="shared" si="4"/>
        <v>#VALUE!</v>
      </c>
      <c r="M25" s="82" t="e">
        <f t="shared" si="4"/>
        <v>#VALUE!</v>
      </c>
      <c r="N25" s="83" t="e">
        <f t="shared" si="4"/>
        <v>#VALUE!</v>
      </c>
    </row>
    <row r="26" spans="1:14" ht="16" thickTop="1"/>
  </sheetData>
  <conditionalFormatting sqref="C25:N25">
    <cfRule type="cellIs" dxfId="1" priority="1" operator="lessThanOrEqual">
      <formula>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A638-7E7C-458E-AB94-484F7685936A}">
  <sheetPr>
    <tabColor rgb="FF7030A0"/>
  </sheetPr>
  <dimension ref="A1:E47"/>
  <sheetViews>
    <sheetView topLeftCell="A34" workbookViewId="0">
      <selection activeCell="C15" sqref="C15"/>
    </sheetView>
  </sheetViews>
  <sheetFormatPr baseColWidth="10" defaultColWidth="10.83203125" defaultRowHeight="13"/>
  <cols>
    <col min="1" max="1" width="37.33203125" style="24" customWidth="1"/>
    <col min="2" max="2" width="23.5" style="24" bestFit="1" customWidth="1"/>
    <col min="3" max="5" width="10.83203125" style="1" bestFit="1" customWidth="1"/>
    <col min="6" max="6" width="13.5" style="24" bestFit="1" customWidth="1"/>
    <col min="7" max="7" width="12.5" style="24" bestFit="1" customWidth="1"/>
    <col min="8" max="8" width="11.6640625" style="24" bestFit="1" customWidth="1"/>
    <col min="9" max="9" width="10.83203125" style="24"/>
    <col min="10" max="10" width="13.5" style="24" bestFit="1" customWidth="1"/>
    <col min="11" max="11" width="10.83203125" style="24"/>
    <col min="12" max="12" width="11" style="24" bestFit="1" customWidth="1"/>
    <col min="13" max="13" width="10.83203125" style="24"/>
    <col min="14" max="14" width="11.6640625" style="24" bestFit="1" customWidth="1"/>
    <col min="15" max="16384" width="10.83203125" style="24"/>
  </cols>
  <sheetData>
    <row r="1" spans="1:5" ht="14">
      <c r="A1" s="124" t="s">
        <v>159</v>
      </c>
      <c r="B1" s="124"/>
    </row>
    <row r="2" spans="1:5" ht="16">
      <c r="A2" s="38" t="s">
        <v>97</v>
      </c>
      <c r="B2" s="38"/>
      <c r="C2" s="39"/>
      <c r="D2" s="39"/>
      <c r="E2" s="39"/>
    </row>
    <row r="5" spans="1:5" s="25" customFormat="1">
      <c r="A5" s="27"/>
      <c r="B5" s="27" t="s">
        <v>312</v>
      </c>
      <c r="C5" s="245" t="s">
        <v>68</v>
      </c>
      <c r="D5" s="245" t="s">
        <v>69</v>
      </c>
      <c r="E5" s="245" t="s">
        <v>70</v>
      </c>
    </row>
    <row r="6" spans="1:5">
      <c r="A6" s="27" t="s">
        <v>60</v>
      </c>
      <c r="B6" s="27" t="s">
        <v>60</v>
      </c>
      <c r="C6" s="31"/>
      <c r="D6" s="31"/>
      <c r="E6" s="31"/>
    </row>
    <row r="7" spans="1:5">
      <c r="A7" s="28" t="str">
        <f>'8.Prod'!A4</f>
        <v>Ventes de marchandises</v>
      </c>
      <c r="B7" s="28" t="str">
        <f>'8.Prod'!B4</f>
        <v>CA de Tenue de luxe Homme</v>
      </c>
      <c r="C7" s="31" t="e">
        <f>SUMIF('10.Vente'!$A:$A,$A7,'10.Vente'!P:P)</f>
        <v>#VALUE!</v>
      </c>
      <c r="D7" s="31" t="e">
        <f>SUMIF('10.Vente'!$A:$A,$A7,'10.Vente'!Q:Q)</f>
        <v>#VALUE!</v>
      </c>
      <c r="E7" s="31" t="e">
        <f>SUMIF('10.Vente'!$A:$A,$A7,'10.Vente'!R:R)</f>
        <v>#VALUE!</v>
      </c>
    </row>
    <row r="8" spans="1:5">
      <c r="A8" s="28" t="str">
        <f>'8.Prod'!A8</f>
        <v>Ventes de produits fabriqués</v>
      </c>
      <c r="B8" s="28">
        <f>'8.Prod'!B8</f>
        <v>0</v>
      </c>
      <c r="C8" s="31">
        <f>SUMIF('10.Vente'!$A:$A,$A8,'10.Vente'!P:P)</f>
        <v>0</v>
      </c>
      <c r="D8" s="31">
        <f>SUMIF('10.Vente'!$A:$A,$A8,'10.Vente'!Q:Q)</f>
        <v>0</v>
      </c>
      <c r="E8" s="31">
        <f>SUMIF('10.Vente'!$A:$A,$A8,'10.Vente'!R:R)</f>
        <v>0</v>
      </c>
    </row>
    <row r="9" spans="1:5">
      <c r="A9" s="28" t="str">
        <f>'8.Prod'!A9</f>
        <v>Vente de services</v>
      </c>
      <c r="B9" s="28">
        <f>'8.Prod'!B9</f>
        <v>0</v>
      </c>
      <c r="C9" s="31">
        <f>SUMIF('10.Vente'!$A:$A,$A9,'10.Vente'!P:P)</f>
        <v>0</v>
      </c>
      <c r="D9" s="31">
        <f>SUMIF('10.Vente'!$A:$A,$A9,'10.Vente'!Q:Q)</f>
        <v>0</v>
      </c>
      <c r="E9" s="31">
        <f>SUMIF('10.Vente'!$A:$A,$A9,'10.Vente'!R:R)</f>
        <v>0</v>
      </c>
    </row>
    <row r="10" spans="1:5">
      <c r="A10" s="28" t="str">
        <f>'8.Prod'!A10</f>
        <v>Ventes d'autre produits</v>
      </c>
      <c r="B10" s="28">
        <f>'8.Prod'!B10</f>
        <v>0</v>
      </c>
      <c r="C10" s="31">
        <f>SUMIF('10.Vente'!$A:$A,$A10,'10.Vente'!P:P)</f>
        <v>0</v>
      </c>
      <c r="D10" s="31">
        <f>SUMIF('10.Vente'!$A:$A,$A10,'10.Vente'!Q:Q)</f>
        <v>0</v>
      </c>
      <c r="E10" s="31">
        <f>SUMIF('10.Vente'!$A:$A,$A10,'10.Vente'!R:R)</f>
        <v>0</v>
      </c>
    </row>
    <row r="11" spans="1:5">
      <c r="A11" s="27" t="s">
        <v>63</v>
      </c>
      <c r="B11" s="27" t="s">
        <v>63</v>
      </c>
      <c r="C11" s="31" t="e">
        <f>SUM(C7:C10)</f>
        <v>#VALUE!</v>
      </c>
      <c r="D11" s="31" t="e">
        <f>SUM(D7:D10)</f>
        <v>#VALUE!</v>
      </c>
      <c r="E11" s="31" t="e">
        <f>SUM(E7:E10)</f>
        <v>#VALUE!</v>
      </c>
    </row>
    <row r="12" spans="1:5">
      <c r="A12" s="27" t="s">
        <v>79</v>
      </c>
      <c r="B12" s="27" t="s">
        <v>79</v>
      </c>
      <c r="C12" s="31"/>
      <c r="D12" s="31"/>
      <c r="E12" s="31"/>
    </row>
    <row r="13" spans="1:5">
      <c r="A13" s="28" t="str">
        <f>'11.Charges'!A4</f>
        <v>Achat de marchandises</v>
      </c>
      <c r="B13" s="28" t="str">
        <f>'11.Charges'!B4</f>
        <v>Achat de Tenue de luxe Homme</v>
      </c>
      <c r="C13" s="31">
        <f>SUMIF('12.Char.Dir'!$A:$A,$A13,'12.Char.Dir'!P:P)</f>
        <v>16200000</v>
      </c>
      <c r="D13" s="31">
        <f>SUMIF('12.Char.Dir'!$A:$A,$A13,'12.Char.Dir'!Q:Q)</f>
        <v>17820000</v>
      </c>
      <c r="E13" s="31">
        <f>SUMIF('12.Char.Dir'!$A:$A,$A13,'12.Char.Dir'!R:R)</f>
        <v>19602000</v>
      </c>
    </row>
    <row r="14" spans="1:5">
      <c r="A14" s="28" t="str">
        <f>'11.Charges'!A8</f>
        <v>Achat de MP</v>
      </c>
      <c r="B14" s="28">
        <f>'11.Charges'!B8</f>
        <v>0</v>
      </c>
      <c r="C14" s="31">
        <f>SUMIF('12.Char.Dir'!$A:$A,$A14,'12.Char.Dir'!P:P)</f>
        <v>0</v>
      </c>
      <c r="D14" s="31">
        <f>SUMIF('12.Char.Dir'!$A:$A,$A14,'12.Char.Dir'!Q:Q)</f>
        <v>0</v>
      </c>
      <c r="E14" s="31">
        <f>SUMIF('12.Char.Dir'!$A:$A,$A14,'12.Char.Dir'!R:R)</f>
        <v>0</v>
      </c>
    </row>
    <row r="15" spans="1:5">
      <c r="A15" s="28" t="str">
        <f>'11.Charges'!A9</f>
        <v>Main d'œuvre directe vente</v>
      </c>
      <c r="B15" s="28">
        <f>'11.Charges'!B9</f>
        <v>0</v>
      </c>
      <c r="C15" s="31">
        <f>SUMIF('12.Char.Dir'!$A:$A,$A15,'12.Char.Dir'!P:P)</f>
        <v>0</v>
      </c>
      <c r="D15" s="31">
        <f>SUMIF('12.Char.Dir'!$A:$A,$A15,'12.Char.Dir'!Q:Q)</f>
        <v>0</v>
      </c>
      <c r="E15" s="31">
        <f>SUMIF('12.Char.Dir'!$A:$A,$A15,'12.Char.Dir'!R:R)</f>
        <v>0</v>
      </c>
    </row>
    <row r="16" spans="1:5">
      <c r="A16" s="28" t="str">
        <f>'11.Charges'!A10</f>
        <v>Main d'œuvre directe transformation</v>
      </c>
      <c r="B16" s="28">
        <f>'11.Charges'!B10</f>
        <v>0</v>
      </c>
      <c r="C16" s="31">
        <f>SUMIF('12.Char.Dir'!$A:$A,$A16,'12.Char.Dir'!P:P)</f>
        <v>0</v>
      </c>
      <c r="D16" s="31">
        <f>SUMIF('12.Char.Dir'!$A:$A,$A16,'12.Char.Dir'!Q:Q)</f>
        <v>0</v>
      </c>
      <c r="E16" s="31">
        <f>SUMIF('12.Char.Dir'!$A:$A,$A16,'12.Char.Dir'!R:R)</f>
        <v>0</v>
      </c>
    </row>
    <row r="17" spans="1:5">
      <c r="A17" s="28" t="str">
        <f>'11.Charges'!A11</f>
        <v>Main d'œuvre directe vente de services</v>
      </c>
      <c r="B17" s="28">
        <f>'11.Charges'!B11</f>
        <v>0</v>
      </c>
      <c r="C17" s="31">
        <f>SUMIF('12.Char.Dir'!$A:$A,$A17,'12.Char.Dir'!P:P)</f>
        <v>0</v>
      </c>
      <c r="D17" s="31">
        <f>SUMIF('12.Char.Dir'!$A:$A,$A17,'12.Char.Dir'!Q:Q)</f>
        <v>0</v>
      </c>
      <c r="E17" s="31">
        <f>SUMIF('12.Char.Dir'!$A:$A,$A17,'12.Char.Dir'!R:R)</f>
        <v>0</v>
      </c>
    </row>
    <row r="18" spans="1:5">
      <c r="A18" s="28" t="str">
        <f>'11.Charges'!A12</f>
        <v xml:space="preserve">Frais indirects de transformation </v>
      </c>
      <c r="B18" s="28">
        <f>'11.Charges'!B12</f>
        <v>0</v>
      </c>
      <c r="C18" s="31">
        <f>SUMIF('12.Char.Dir'!$A:$A,$A18,'12.Char.Dir'!P:P)</f>
        <v>0</v>
      </c>
      <c r="D18" s="31">
        <f>SUMIF('12.Char.Dir'!$A:$A,$A18,'12.Char.Dir'!Q:Q)</f>
        <v>0</v>
      </c>
      <c r="E18" s="31">
        <f>SUMIF('12.Char.Dir'!$A:$A,$A18,'12.Char.Dir'!R:R)</f>
        <v>0</v>
      </c>
    </row>
    <row r="19" spans="1:5">
      <c r="A19" s="28" t="str">
        <f>'11.Charges'!A13</f>
        <v>Frais indirects de vente</v>
      </c>
      <c r="B19" s="28" t="str">
        <f>'11.Charges'!B13</f>
        <v>Logistique Tenue de luxe Homme</v>
      </c>
      <c r="C19" s="31">
        <f>SUMIF('12.Char.Dir'!$A:$A,$A19,'12.Char.Dir'!P:P)</f>
        <v>2160000</v>
      </c>
      <c r="D19" s="31">
        <f>SUMIF('12.Char.Dir'!$A:$A,$A19,'12.Char.Dir'!Q:Q)</f>
        <v>2376000</v>
      </c>
      <c r="E19" s="31">
        <f>SUMIF('12.Char.Dir'!$A:$A,$A19,'12.Char.Dir'!R:R)</f>
        <v>2613600</v>
      </c>
    </row>
    <row r="20" spans="1:5">
      <c r="A20" s="28" t="str">
        <f>'11.Charges'!A25</f>
        <v>Frais indirects de vente de services</v>
      </c>
      <c r="B20" s="28">
        <f>'11.Charges'!B25</f>
        <v>0</v>
      </c>
      <c r="C20" s="31">
        <f>SUMIF('12.Char.Dir'!$A:$A,$A20,'12.Char.Dir'!P:P)</f>
        <v>0</v>
      </c>
      <c r="D20" s="31">
        <f>SUMIF('12.Char.Dir'!$A:$A,$A20,'12.Char.Dir'!Q:Q)</f>
        <v>0</v>
      </c>
      <c r="E20" s="31">
        <f>SUMIF('12.Char.Dir'!$A:$A,$A20,'12.Char.Dir'!R:R)</f>
        <v>0</v>
      </c>
    </row>
    <row r="21" spans="1:5">
      <c r="A21" s="27" t="s">
        <v>80</v>
      </c>
      <c r="B21" s="27" t="s">
        <v>80</v>
      </c>
      <c r="C21" s="33">
        <f>SUM(C13:C20)</f>
        <v>18360000</v>
      </c>
      <c r="D21" s="33">
        <f>SUM(D13:D20)</f>
        <v>20196000</v>
      </c>
      <c r="E21" s="33">
        <f>SUM(E13:E20)</f>
        <v>22215600</v>
      </c>
    </row>
    <row r="22" spans="1:5">
      <c r="A22" s="29" t="s">
        <v>67</v>
      </c>
      <c r="B22" s="29" t="s">
        <v>67</v>
      </c>
      <c r="C22" s="33" t="e">
        <f>C11-C21</f>
        <v>#VALUE!</v>
      </c>
      <c r="D22" s="33" t="e">
        <f>D11-D21</f>
        <v>#VALUE!</v>
      </c>
      <c r="E22" s="33" t="e">
        <f>E11-E21</f>
        <v>#VALUE!</v>
      </c>
    </row>
    <row r="23" spans="1:5">
      <c r="A23" s="27" t="s">
        <v>66</v>
      </c>
      <c r="B23" s="27" t="s">
        <v>66</v>
      </c>
      <c r="C23" s="31"/>
      <c r="D23" s="31"/>
      <c r="E23" s="31"/>
    </row>
    <row r="24" spans="1:5">
      <c r="A24" s="28" t="str">
        <f>'11.Charges'!A29</f>
        <v>Action commerciale</v>
      </c>
      <c r="B24" s="28" t="str">
        <f>'11.Charges'!B29</f>
        <v>Sponsoring page réseaux sociaux</v>
      </c>
      <c r="C24" s="31">
        <f>SUMIF('14.Char.Ind'!$A:$A,$A24,'14.Char.Ind'!P:P)</f>
        <v>1900000</v>
      </c>
      <c r="D24" s="31">
        <f>SUMIF('14.Char.Ind'!$A:$A,$A24,'14.Char.Ind'!Q:Q)</f>
        <v>1900000</v>
      </c>
      <c r="E24" s="31">
        <f>SUMIF('14.Char.Ind'!$A:$A,$A24,'14.Char.Ind'!R:R)</f>
        <v>1900000</v>
      </c>
    </row>
    <row r="25" spans="1:5">
      <c r="A25" s="28" t="str">
        <f>'11.Charges'!A30</f>
        <v xml:space="preserve">Frais Généraux </v>
      </c>
      <c r="B25" s="28" t="str">
        <f>'11.Charges'!B30</f>
        <v>Frais administration</v>
      </c>
      <c r="C25" s="31">
        <f>SUMIF('14.Char.Ind'!$A:$A,$A25,'14.Char.Ind'!P:P)</f>
        <v>300000</v>
      </c>
      <c r="D25" s="31">
        <f>SUMIF('14.Char.Ind'!$A:$A,$A25,'14.Char.Ind'!Q:Q)</f>
        <v>300000</v>
      </c>
      <c r="E25" s="31">
        <f>SUMIF('14.Char.Ind'!$A:$A,$A25,'14.Char.Ind'!R:R)</f>
        <v>300000</v>
      </c>
    </row>
    <row r="26" spans="1:5">
      <c r="A26" s="28" t="str">
        <f>'11.Charges'!A31</f>
        <v>Energie/Electricité/ Eau</v>
      </c>
      <c r="B26" s="28" t="str">
        <f>'11.Charges'!B31</f>
        <v>Eau</v>
      </c>
      <c r="C26" s="31">
        <f>SUMIF('14.Char.Ind'!$A:$A,$A26,'14.Char.Ind'!P:P)</f>
        <v>990000</v>
      </c>
      <c r="D26" s="31">
        <f>SUMIF('14.Char.Ind'!$A:$A,$A26,'14.Char.Ind'!Q:Q)</f>
        <v>990000</v>
      </c>
      <c r="E26" s="31">
        <f>SUMIF('14.Char.Ind'!$A:$A,$A26,'14.Char.Ind'!R:R)</f>
        <v>990000</v>
      </c>
    </row>
    <row r="27" spans="1:5">
      <c r="A27" s="28" t="str">
        <f>'11.Charges'!A32</f>
        <v xml:space="preserve">Frais de transport </v>
      </c>
      <c r="B27" s="28" t="str">
        <f>'11.Charges'!B32</f>
        <v>Carburant</v>
      </c>
      <c r="C27" s="31">
        <f>SUMIF('14.Char.Ind'!$A:$A,$A27,'14.Char.Ind'!P:P)</f>
        <v>600000</v>
      </c>
      <c r="D27" s="31">
        <f>SUMIF('14.Char.Ind'!$A:$A,$A27,'14.Char.Ind'!Q:Q)</f>
        <v>600000</v>
      </c>
      <c r="E27" s="31">
        <f>SUMIF('14.Char.Ind'!$A:$A,$A27,'14.Char.Ind'!R:R)</f>
        <v>600000</v>
      </c>
    </row>
    <row r="28" spans="1:5">
      <c r="A28" s="28" t="str">
        <f>'11.Charges'!A33</f>
        <v>Frais de communication</v>
      </c>
      <c r="B28" s="28" t="str">
        <f>'11.Charges'!B33</f>
        <v>Telephone / Internet</v>
      </c>
      <c r="C28" s="31">
        <f>SUMIF('14.Char.Ind'!$A:$A,$A28,'14.Char.Ind'!P:P)</f>
        <v>600000</v>
      </c>
      <c r="D28" s="31">
        <f>SUMIF('14.Char.Ind'!$A:$A,$A28,'14.Char.Ind'!Q:Q)</f>
        <v>600000</v>
      </c>
      <c r="E28" s="31">
        <f>SUMIF('14.Char.Ind'!$A:$A,$A28,'14.Char.Ind'!R:R)</f>
        <v>600000</v>
      </c>
    </row>
    <row r="29" spans="1:5">
      <c r="A29" s="28" t="str">
        <f>'11.Charges'!A34</f>
        <v xml:space="preserve">Publicité et Marketing </v>
      </c>
      <c r="B29" s="28">
        <f>'11.Charges'!B34</f>
        <v>0</v>
      </c>
      <c r="C29" s="31">
        <f>SUMIF('14.Char.Ind'!$A:$A,$A29,'14.Char.Ind'!P:P)</f>
        <v>0</v>
      </c>
      <c r="D29" s="31">
        <f>SUMIF('14.Char.Ind'!$A:$A,$A29,'14.Char.Ind'!Q:Q)</f>
        <v>0</v>
      </c>
      <c r="E29" s="31">
        <f>SUMIF('14.Char.Ind'!$A:$A,$A29,'14.Char.Ind'!R:R)</f>
        <v>0</v>
      </c>
    </row>
    <row r="30" spans="1:5">
      <c r="A30" s="28" t="str">
        <f>'11.Charges'!A35</f>
        <v>Location</v>
      </c>
      <c r="B30" s="28" t="str">
        <f>'11.Charges'!B35</f>
        <v>Loyer</v>
      </c>
      <c r="C30" s="31">
        <f>SUMIF('14.Char.Ind'!$A:$A,$A30,'14.Char.Ind'!P:P)</f>
        <v>3000000</v>
      </c>
      <c r="D30" s="31">
        <f>SUMIF('14.Char.Ind'!$A:$A,$A30,'14.Char.Ind'!Q:Q)</f>
        <v>3000000</v>
      </c>
      <c r="E30" s="31">
        <f>SUMIF('14.Char.Ind'!$A:$A,$A30,'14.Char.Ind'!R:R)</f>
        <v>3000000</v>
      </c>
    </row>
    <row r="31" spans="1:5">
      <c r="A31" s="28" t="str">
        <f>'11.Charges'!A36</f>
        <v>Assurance</v>
      </c>
      <c r="B31" s="28" t="str">
        <f>'11.Charges'!B36</f>
        <v>Assurance voiture</v>
      </c>
      <c r="C31" s="31">
        <f>SUMIF('14.Char.Ind'!$A:$A,$A31,'14.Char.Ind'!P:P)</f>
        <v>144000</v>
      </c>
      <c r="D31" s="31">
        <f>SUMIF('14.Char.Ind'!$A:$A,$A31,'14.Char.Ind'!Q:Q)</f>
        <v>144000</v>
      </c>
      <c r="E31" s="31">
        <f>SUMIF('14.Char.Ind'!$A:$A,$A31,'14.Char.Ind'!R:R)</f>
        <v>144000</v>
      </c>
    </row>
    <row r="32" spans="1:5">
      <c r="A32" s="28" t="str">
        <f>'11.Charges'!A37</f>
        <v xml:space="preserve">Prestations et Honoraires </v>
      </c>
      <c r="B32" s="28" t="str">
        <f>'11.Charges'!B37</f>
        <v>Frais Infogérance</v>
      </c>
      <c r="C32" s="31">
        <f>SUMIF('14.Char.Ind'!$A:$A,$A32,'14.Char.Ind'!P:P)</f>
        <v>380000</v>
      </c>
      <c r="D32" s="31">
        <f>SUMIF('14.Char.Ind'!$A:$A,$A32,'14.Char.Ind'!Q:Q)</f>
        <v>380000</v>
      </c>
      <c r="E32" s="31">
        <f>SUMIF('14.Char.Ind'!$A:$A,$A32,'14.Char.Ind'!R:R)</f>
        <v>380000</v>
      </c>
    </row>
    <row r="33" spans="1:5">
      <c r="A33" s="28" t="str">
        <f>'11.Charges'!A38</f>
        <v xml:space="preserve">Autres provisions </v>
      </c>
      <c r="B33" s="28">
        <f>'11.Charges'!B38</f>
        <v>0</v>
      </c>
      <c r="C33" s="31">
        <f>SUMIF('14.Char.Ind'!$A:$A,$A33,'14.Char.Ind'!P:P)</f>
        <v>0</v>
      </c>
      <c r="D33" s="31">
        <f>SUMIF('14.Char.Ind'!$A:$A,$A33,'14.Char.Ind'!Q:Q)</f>
        <v>0</v>
      </c>
      <c r="E33" s="31">
        <f>SUMIF('14.Char.Ind'!$A:$A,$A33,'14.Char.Ind'!R:R)</f>
        <v>0</v>
      </c>
    </row>
    <row r="34" spans="1:5">
      <c r="A34" s="28" t="str">
        <f>'11.Charges'!A27</f>
        <v>Taxe et redevance</v>
      </c>
      <c r="B34" s="28" t="str">
        <f>'11.Charges'!B27</f>
        <v>Timbre</v>
      </c>
      <c r="C34" s="31" t="e">
        <f>SUMIF('12.Char.Dir'!$A:$A,$A34,'12.Char.Dir'!P:P)</f>
        <v>#VALUE!</v>
      </c>
      <c r="D34" s="31" t="e">
        <f>SUMIF('12.Char.Dir'!$A:$A,$A34,'12.Char.Dir'!Q:Q)</f>
        <v>#VALUE!</v>
      </c>
      <c r="E34" s="31" t="e">
        <f>SUMIF('12.Char.Dir'!$A:$A,$A34,'12.Char.Dir'!R:R)</f>
        <v>#VALUE!</v>
      </c>
    </row>
    <row r="35" spans="1:5">
      <c r="A35" s="28" t="str">
        <f>'11.Charges'!A26</f>
        <v xml:space="preserve">Salaires et Avantages </v>
      </c>
      <c r="B35" s="28" t="str">
        <f>'11.Charges'!B26</f>
        <v>Salaire personnel</v>
      </c>
      <c r="C35" s="31" t="e">
        <f>SUMIF('12.Char.Dir'!$A:$A,$A35,'12.Char.Dir'!P:P)</f>
        <v>#VALUE!</v>
      </c>
      <c r="D35" s="31" t="e">
        <f>SUMIF('12.Char.Dir'!$A:$A,$A35,'12.Char.Dir'!Q:Q)</f>
        <v>#VALUE!</v>
      </c>
      <c r="E35" s="31" t="e">
        <f>SUMIF('12.Char.Dir'!$A:$A,$A35,'12.Char.Dir'!R:R)</f>
        <v>#VALUE!</v>
      </c>
    </row>
    <row r="36" spans="1:5">
      <c r="A36" s="27" t="s">
        <v>65</v>
      </c>
      <c r="B36" s="27" t="s">
        <v>65</v>
      </c>
      <c r="C36" s="33" t="e">
        <f>SUM(C24:C35)</f>
        <v>#VALUE!</v>
      </c>
      <c r="D36" s="33" t="e">
        <f t="shared" ref="D36:E36" si="0">SUM(D24:D35)</f>
        <v>#VALUE!</v>
      </c>
      <c r="E36" s="33" t="e">
        <f t="shared" si="0"/>
        <v>#VALUE!</v>
      </c>
    </row>
    <row r="37" spans="1:5" customFormat="1" ht="2.5" customHeight="1"/>
    <row r="38" spans="1:5">
      <c r="A38" s="27" t="s">
        <v>76</v>
      </c>
      <c r="B38" s="27" t="s">
        <v>76</v>
      </c>
      <c r="C38" s="33" t="e">
        <f>C22-C36</f>
        <v>#VALUE!</v>
      </c>
      <c r="D38" s="33" t="e">
        <f>D22-D36</f>
        <v>#VALUE!</v>
      </c>
      <c r="E38" s="33" t="e">
        <f>E22-E36</f>
        <v>#VALUE!</v>
      </c>
    </row>
    <row r="39" spans="1:5">
      <c r="A39" s="28" t="s">
        <v>16</v>
      </c>
      <c r="B39" s="28" t="s">
        <v>16</v>
      </c>
      <c r="C39" s="31" t="e">
        <f>'12.Char.Dir'!P29+'14.Char.Ind'!P14</f>
        <v>#VALUE!</v>
      </c>
      <c r="D39" s="31" t="e">
        <f>'12.Char.Dir'!Q29+'14.Char.Ind'!Q14</f>
        <v>#VALUE!</v>
      </c>
      <c r="E39" s="31" t="e">
        <f>'12.Char.Dir'!R29+'14.Char.Ind'!R14</f>
        <v>#VALUE!</v>
      </c>
    </row>
    <row r="40" spans="1:5">
      <c r="A40" s="28" t="s">
        <v>77</v>
      </c>
      <c r="B40" s="28" t="s">
        <v>77</v>
      </c>
      <c r="C40" s="31">
        <f>SUMIF('2.Cal.Amo.CT'!$G:$G,C$5,'2.Cal.Amo.CT'!$C:$C)+SUMIF('3.Cal.Amo.LT'!$A:$A,'16.CR'!C$5,'3.Cal.Amo.LT'!$C:$C)+SUMIF('4.Cal.Amo.AI'!$A:$A,'16.CR'!C$5,'4.Cal.Amo.AI'!$C:$C)</f>
        <v>293316.92134666548</v>
      </c>
      <c r="D40" s="31">
        <f>SUMIF('2.Cal.Amo.CT'!$G:$G,D$5,'2.Cal.Amo.CT'!$C:$C)+SUMIF('3.Cal.Amo.LT'!$A:$A,'16.CR'!D$5,'3.Cal.Amo.LT'!$C:$C)+SUMIF('4.Cal.Amo.AI'!$A:$A,'16.CR'!D$5,'4.Cal.Amo.AI'!$C:$C)</f>
        <v>4784.6979957902449</v>
      </c>
      <c r="E40" s="31">
        <f>SUMIF('2.Cal.Amo.CT'!$G:$G,E$5,'2.Cal.Amo.CT'!$C:$C)+SUMIF('3.Cal.Amo.LT'!$A:$A,'16.CR'!E$5,'3.Cal.Amo.LT'!$C:$C)+SUMIF('4.Cal.Amo.AI'!$A:$A,'16.CR'!E$5,'4.Cal.Amo.AI'!$C:$C)</f>
        <v>2495.3688112016121</v>
      </c>
    </row>
    <row r="41" spans="1:5">
      <c r="A41" s="27" t="s">
        <v>78</v>
      </c>
      <c r="B41" s="27" t="s">
        <v>78</v>
      </c>
      <c r="C41" s="33" t="e">
        <f>C38-C39-C40</f>
        <v>#VALUE!</v>
      </c>
      <c r="D41" s="33" t="e">
        <f t="shared" ref="D41:E41" si="1">D38-D39-D40</f>
        <v>#VALUE!</v>
      </c>
      <c r="E41" s="33" t="e">
        <f t="shared" si="1"/>
        <v>#VALUE!</v>
      </c>
    </row>
    <row r="42" spans="1:5">
      <c r="A42" s="28" t="s">
        <v>81</v>
      </c>
      <c r="B42" s="28" t="s">
        <v>81</v>
      </c>
      <c r="C42" s="31" t="e">
        <f>'12.Char.Dir'!P28</f>
        <v>#VALUE!</v>
      </c>
      <c r="D42" s="31" t="e">
        <f>'12.Char.Dir'!Q28</f>
        <v>#VALUE!</v>
      </c>
      <c r="E42" s="31" t="e">
        <f>'12.Char.Dir'!R28</f>
        <v>#VALUE!</v>
      </c>
    </row>
    <row r="43" spans="1:5">
      <c r="A43" s="27" t="s">
        <v>75</v>
      </c>
      <c r="B43" s="27" t="s">
        <v>75</v>
      </c>
      <c r="C43" s="33" t="e">
        <f>C41-C42</f>
        <v>#VALUE!</v>
      </c>
      <c r="D43" s="33" t="e">
        <f t="shared" ref="D43:E43" si="2">D41-D42</f>
        <v>#VALUE!</v>
      </c>
      <c r="E43" s="33" t="e">
        <f t="shared" si="2"/>
        <v>#VALUE!</v>
      </c>
    </row>
    <row r="44" spans="1:5">
      <c r="A44" s="27" t="s">
        <v>72</v>
      </c>
      <c r="B44" s="27" t="s">
        <v>72</v>
      </c>
      <c r="C44" s="91" t="e">
        <f>C43/C11</f>
        <v>#VALUE!</v>
      </c>
      <c r="D44" s="91" t="e">
        <f>D43/D11</f>
        <v>#VALUE!</v>
      </c>
      <c r="E44" s="91" t="e">
        <f>E43/E11</f>
        <v>#VALUE!</v>
      </c>
    </row>
    <row r="45" spans="1:5">
      <c r="A45" s="27" t="s">
        <v>73</v>
      </c>
      <c r="B45" s="27" t="s">
        <v>73</v>
      </c>
      <c r="C45" s="33" t="e">
        <f>C43+C39</f>
        <v>#VALUE!</v>
      </c>
      <c r="D45" s="33" t="e">
        <f t="shared" ref="D45:E45" si="3">D43+D39</f>
        <v>#VALUE!</v>
      </c>
      <c r="E45" s="33" t="e">
        <f t="shared" si="3"/>
        <v>#VALUE!</v>
      </c>
    </row>
    <row r="46" spans="1:5" ht="15">
      <c r="C46"/>
      <c r="D46"/>
      <c r="E46"/>
    </row>
    <row r="47" spans="1:5" ht="15">
      <c r="C47"/>
      <c r="D47"/>
      <c r="E47"/>
    </row>
  </sheetData>
  <phoneticPr fontId="42"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CCAA-CECF-4DCB-BFB5-8325AAB0E1DD}">
  <sheetPr>
    <tabColor rgb="FF7030A0"/>
  </sheetPr>
  <dimension ref="A1:G26"/>
  <sheetViews>
    <sheetView topLeftCell="A4" workbookViewId="0">
      <selection activeCell="C7" sqref="C7"/>
    </sheetView>
  </sheetViews>
  <sheetFormatPr baseColWidth="10" defaultRowHeight="15"/>
  <cols>
    <col min="1" max="1" width="42.33203125" customWidth="1"/>
    <col min="2" max="2" width="5.1640625" bestFit="1" customWidth="1"/>
    <col min="3" max="5" width="9.5" bestFit="1" customWidth="1"/>
  </cols>
  <sheetData>
    <row r="1" spans="1:5">
      <c r="A1" s="124" t="s">
        <v>353</v>
      </c>
      <c r="B1" s="124"/>
    </row>
    <row r="2" spans="1:5" ht="16" thickBot="1"/>
    <row r="3" spans="1:5" ht="16" thickBot="1">
      <c r="A3" s="41"/>
      <c r="B3" s="41"/>
      <c r="C3" s="42" t="s">
        <v>131</v>
      </c>
      <c r="D3" s="43"/>
      <c r="E3" s="44"/>
    </row>
    <row r="4" spans="1:5" ht="16" thickBot="1">
      <c r="A4" s="45" t="s">
        <v>9</v>
      </c>
      <c r="B4" s="127"/>
      <c r="C4" s="46" t="s">
        <v>68</v>
      </c>
      <c r="D4" s="47" t="s">
        <v>69</v>
      </c>
      <c r="E4" s="48" t="s">
        <v>70</v>
      </c>
    </row>
    <row r="5" spans="1:5" ht="16" thickBot="1">
      <c r="A5" s="49" t="s">
        <v>130</v>
      </c>
      <c r="B5" s="49" t="s">
        <v>163</v>
      </c>
      <c r="C5" s="50">
        <v>0</v>
      </c>
      <c r="D5" s="51" t="e">
        <f>C25</f>
        <v>#VALUE!</v>
      </c>
      <c r="E5" s="52" t="e">
        <f>D25</f>
        <v>#VALUE!</v>
      </c>
    </row>
    <row r="6" spans="1:5" ht="16" thickBot="1">
      <c r="A6" s="53" t="s">
        <v>103</v>
      </c>
      <c r="B6" s="53"/>
      <c r="C6" s="54"/>
      <c r="D6" s="55"/>
      <c r="E6" s="56"/>
    </row>
    <row r="7" spans="1:5" ht="16" thickBot="1">
      <c r="A7" s="84" t="s">
        <v>116</v>
      </c>
      <c r="B7" s="128"/>
      <c r="C7" s="71">
        <f>'1.Var.Fin'!B5+'1.Var.Fin'!B11+'1.Var.Fin'!B17</f>
        <v>3775000.8717999998</v>
      </c>
      <c r="D7" s="72"/>
      <c r="E7" s="73"/>
    </row>
    <row r="8" spans="1:5" ht="16" thickBot="1">
      <c r="A8" s="84" t="s">
        <v>115</v>
      </c>
      <c r="B8" s="128"/>
      <c r="C8" s="71" t="e">
        <f>'10.Vente'!P12</f>
        <v>#VALUE!</v>
      </c>
      <c r="D8" s="72" t="e">
        <f>'10.Vente'!Q12</f>
        <v>#VALUE!</v>
      </c>
      <c r="E8" s="73" t="e">
        <f>'10.Vente'!R12</f>
        <v>#VALUE!</v>
      </c>
    </row>
    <row r="9" spans="1:5" ht="16" thickBot="1">
      <c r="A9" s="57" t="s">
        <v>104</v>
      </c>
      <c r="B9" s="62"/>
      <c r="C9" s="58" t="e">
        <f>SUM(C7:C8)</f>
        <v>#VALUE!</v>
      </c>
      <c r="D9" s="59" t="e">
        <f t="shared" ref="D9:E9" si="0">SUM(D7:D8)</f>
        <v>#VALUE!</v>
      </c>
      <c r="E9" s="60" t="e">
        <f t="shared" si="0"/>
        <v>#VALUE!</v>
      </c>
    </row>
    <row r="10" spans="1:5" ht="16" thickBot="1">
      <c r="A10" s="53" t="s">
        <v>105</v>
      </c>
      <c r="B10" s="53"/>
      <c r="C10" s="54"/>
      <c r="D10" s="55"/>
      <c r="E10" s="56"/>
    </row>
    <row r="11" spans="1:5" ht="16" thickBot="1">
      <c r="A11" s="61" t="s">
        <v>106</v>
      </c>
      <c r="B11" s="61"/>
      <c r="C11" s="58" t="e">
        <f>'7.Bud.Inv.'!E22</f>
        <v>#VALUE!</v>
      </c>
      <c r="D11" s="59" t="e">
        <f>'7.Bud.Inv.'!F22</f>
        <v>#VALUE!</v>
      </c>
      <c r="E11" s="60" t="e">
        <f>'7.Bud.Inv.'!P22</f>
        <v>#VALUE!</v>
      </c>
    </row>
    <row r="12" spans="1:5" ht="16" thickBot="1">
      <c r="A12" s="53" t="s">
        <v>117</v>
      </c>
      <c r="B12" s="53"/>
      <c r="C12" s="54"/>
      <c r="D12" s="55"/>
      <c r="E12" s="56"/>
    </row>
    <row r="13" spans="1:5" ht="16" thickBot="1">
      <c r="A13" s="62" t="s">
        <v>118</v>
      </c>
      <c r="B13" s="62"/>
      <c r="C13" s="58">
        <f>SUM('12.Char.Dir'!P4:P25)</f>
        <v>18360000</v>
      </c>
      <c r="D13" s="59">
        <f>SUM('12.Char.Dir'!Q4:Q25)</f>
        <v>20196000</v>
      </c>
      <c r="E13" s="60">
        <f>SUM('12.Char.Dir'!R4:R25)</f>
        <v>22215600</v>
      </c>
    </row>
    <row r="14" spans="1:5" ht="16" thickBot="1">
      <c r="A14" s="63" t="s">
        <v>107</v>
      </c>
      <c r="B14" s="63"/>
      <c r="C14" s="64"/>
      <c r="D14" s="65"/>
      <c r="E14" s="66"/>
    </row>
    <row r="15" spans="1:5">
      <c r="A15" s="67" t="s">
        <v>119</v>
      </c>
      <c r="B15" s="67"/>
      <c r="C15" s="68">
        <f>SUM('14.Char.Ind'!P4:P13)</f>
        <v>7914000</v>
      </c>
      <c r="D15" s="69">
        <f>SUM('14.Char.Ind'!Q4:Q13)</f>
        <v>7914000</v>
      </c>
      <c r="E15" s="70">
        <f>SUM('14.Char.Ind'!R4:R13)</f>
        <v>7914000</v>
      </c>
    </row>
    <row r="16" spans="1:5">
      <c r="A16" s="67" t="s">
        <v>110</v>
      </c>
      <c r="B16" s="67"/>
      <c r="C16" s="68" t="e">
        <f>SUM('12.Char.Dir'!P26)</f>
        <v>#VALUE!</v>
      </c>
      <c r="D16" s="69" t="e">
        <f>SUM('12.Char.Dir'!Q26)</f>
        <v>#VALUE!</v>
      </c>
      <c r="E16" s="70" t="e">
        <f>SUM('12.Char.Dir'!R26)</f>
        <v>#VALUE!</v>
      </c>
    </row>
    <row r="17" spans="1:7" ht="16" thickBot="1">
      <c r="A17" s="67" t="s">
        <v>120</v>
      </c>
      <c r="B17" s="67"/>
      <c r="C17" s="68" t="e">
        <f>SUM('12.Char.Dir'!P27:P28)</f>
        <v>#VALUE!</v>
      </c>
      <c r="D17" s="69" t="e">
        <f>SUM('12.Char.Dir'!Q27:Q28)</f>
        <v>#VALUE!</v>
      </c>
      <c r="E17" s="70" t="e">
        <f>SUM('12.Char.Dir'!R27:R28)</f>
        <v>#VALUE!</v>
      </c>
    </row>
    <row r="18" spans="1:7" ht="16" thickBot="1">
      <c r="A18" s="62" t="s">
        <v>121</v>
      </c>
      <c r="B18" s="62"/>
      <c r="C18" s="58" t="e">
        <f>SUM(C15:C17)</f>
        <v>#VALUE!</v>
      </c>
      <c r="D18" s="59" t="e">
        <f t="shared" ref="D18:E18" si="1">SUM(D15:D17)</f>
        <v>#VALUE!</v>
      </c>
      <c r="E18" s="60" t="e">
        <f t="shared" si="1"/>
        <v>#VALUE!</v>
      </c>
    </row>
    <row r="19" spans="1:7">
      <c r="A19" s="74" t="s">
        <v>108</v>
      </c>
      <c r="B19" s="74"/>
      <c r="C19" s="71">
        <f>SUMIF('2.Cal.Amo.CT'!$G:$G,C$4,'2.Cal.Amo.CT'!$E:$E)</f>
        <v>3698500.8717999859</v>
      </c>
      <c r="D19" s="72">
        <f>SUMIF('2.Cal.Amo.CT'!$G:$G,D$4,'2.Cal.Amo.CT'!$E:$E)</f>
        <v>0</v>
      </c>
      <c r="E19" s="73">
        <f>SUMIF('2.Cal.Amo.CT'!$G:$G,E$4,'2.Cal.Amo.CT'!$E:$E)</f>
        <v>0</v>
      </c>
    </row>
    <row r="20" spans="1:7">
      <c r="A20" s="74" t="s">
        <v>109</v>
      </c>
      <c r="B20" s="74"/>
      <c r="C20" s="71">
        <f>SUMIF('2.Cal.Amo.CT'!$G:$G,C$4,'2.Cal.Amo.CT'!$C:$C)</f>
        <v>286431.92134666548</v>
      </c>
      <c r="D20" s="72">
        <f>SUMIF('2.Cal.Amo.CT'!$G:$G,D$4,'2.Cal.Amo.CT'!$C:$C)</f>
        <v>0</v>
      </c>
      <c r="E20" s="73">
        <f>SUMIF('2.Cal.Amo.CT'!$G:$G,E$4,'2.Cal.Amo.CT'!$C:$C)</f>
        <v>0</v>
      </c>
    </row>
    <row r="21" spans="1:7">
      <c r="A21" s="74" t="s">
        <v>111</v>
      </c>
      <c r="B21" s="74"/>
      <c r="C21" s="71">
        <f>(SUMIF('3.Cal.Amo.LT'!$A:$A,C$4,'3.Cal.Amo.LT'!$E:$E)+SUMIF('4.Cal.Amo.AI'!$A:$A,C$4,'4.Cal.Amo.AI'!$E:$E))</f>
        <v>23336.68893566394</v>
      </c>
      <c r="D21" s="72">
        <f>(SUMIF('3.Cal.Amo.LT'!$A:$A,D$4,'3.Cal.Amo.LT'!$E:$E)+SUMIF('4.Cal.Amo.AI'!$A:$A,D$4,'4.Cal.Amo.AI'!$E:$E))</f>
        <v>25436.990939873696</v>
      </c>
      <c r="E21" s="73">
        <f>(SUMIF('3.Cal.Amo.LT'!$A:$A,E$4,'3.Cal.Amo.LT'!$E:$E)+SUMIF('4.Cal.Amo.AI'!$A:$A,E$4,'4.Cal.Amo.AI'!$E:$E))</f>
        <v>27726.320124462327</v>
      </c>
    </row>
    <row r="22" spans="1:7" ht="16" thickBot="1">
      <c r="A22" s="74" t="s">
        <v>112</v>
      </c>
      <c r="B22" s="74"/>
      <c r="C22" s="71">
        <f>(SUMIF('3.Cal.Amo.LT'!$A:$A,C$4,'3.Cal.Amo.LT'!$C:$C)+SUMIF('4.Cal.Amo.AI'!$A:$A,C$4,'4.Cal.Amo.AI'!$C:$C))</f>
        <v>6885</v>
      </c>
      <c r="D22" s="72">
        <f>(SUMIF('3.Cal.Amo.LT'!$A:$A,D$4,'3.Cal.Amo.LT'!$C:$C)+SUMIF('4.Cal.Amo.AI'!$A:$A,D$4,'4.Cal.Amo.AI'!$C:$C))</f>
        <v>4784.6979957902449</v>
      </c>
      <c r="E22" s="73">
        <f>(SUMIF('3.Cal.Amo.LT'!$A:$A,E$4,'3.Cal.Amo.LT'!$C:$C)+SUMIF('4.Cal.Amo.AI'!$A:$A,E$4,'4.Cal.Amo.AI'!$C:$C))</f>
        <v>2495.3688112016121</v>
      </c>
    </row>
    <row r="23" spans="1:7" ht="16" thickBot="1">
      <c r="A23" s="62" t="s">
        <v>113</v>
      </c>
      <c r="B23" s="62"/>
      <c r="C23" s="58">
        <f>SUM(C19:C22)</f>
        <v>4015154.4820823153</v>
      </c>
      <c r="D23" s="59">
        <f t="shared" ref="D23:E23" si="2">SUM(D19:D22)</f>
        <v>30221.68893566394</v>
      </c>
      <c r="E23" s="60">
        <f t="shared" si="2"/>
        <v>30221.68893566394</v>
      </c>
    </row>
    <row r="24" spans="1:7">
      <c r="A24" s="75" t="s">
        <v>114</v>
      </c>
      <c r="B24" s="129"/>
      <c r="C24" s="76" t="e">
        <f>C11+C13+C18+C23</f>
        <v>#VALUE!</v>
      </c>
      <c r="D24" s="76" t="e">
        <f t="shared" ref="D24:E24" si="3">D11+D13+D18+D23</f>
        <v>#VALUE!</v>
      </c>
      <c r="E24" s="76" t="e">
        <f t="shared" si="3"/>
        <v>#VALUE!</v>
      </c>
      <c r="G24" t="s">
        <v>155</v>
      </c>
    </row>
    <row r="25" spans="1:7" ht="16" thickBot="1">
      <c r="A25" s="80" t="s">
        <v>122</v>
      </c>
      <c r="B25" s="80"/>
      <c r="C25" s="81" t="e">
        <f>C5+C9-C24</f>
        <v>#VALUE!</v>
      </c>
      <c r="D25" s="82" t="e">
        <f t="shared" ref="D25:E25" si="4">D5+D9-D24</f>
        <v>#VALUE!</v>
      </c>
      <c r="E25" s="83" t="e">
        <f t="shared" si="4"/>
        <v>#VALUE!</v>
      </c>
    </row>
    <row r="26" spans="1:7" ht="16" thickTop="1"/>
  </sheetData>
  <conditionalFormatting sqref="C25:E25">
    <cfRule type="cellIs" dxfId="0" priority="1" operator="lessThanOrEqual">
      <formula>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09CC-145D-4371-B418-EDB7B271A468}">
  <sheetPr>
    <tabColor rgb="FF7030A0"/>
  </sheetPr>
  <dimension ref="A1:J15"/>
  <sheetViews>
    <sheetView workbookViewId="0">
      <selection activeCell="F15" sqref="F15"/>
    </sheetView>
  </sheetViews>
  <sheetFormatPr baseColWidth="10" defaultRowHeight="15"/>
  <cols>
    <col min="3" max="3" width="11.83203125" bestFit="1" customWidth="1"/>
    <col min="5" max="5" width="19.1640625" bestFit="1" customWidth="1"/>
    <col min="6" max="6" width="14.1640625" bestFit="1" customWidth="1"/>
    <col min="7" max="7" width="12.5" bestFit="1" customWidth="1"/>
    <col min="9" max="9" width="17.1640625" bestFit="1" customWidth="1"/>
    <col min="10" max="10" width="7" bestFit="1" customWidth="1"/>
  </cols>
  <sheetData>
    <row r="1" spans="1:10">
      <c r="A1" s="124" t="s">
        <v>164</v>
      </c>
    </row>
    <row r="4" spans="1:10">
      <c r="B4" s="87" t="s">
        <v>124</v>
      </c>
      <c r="C4" s="87" t="s">
        <v>125</v>
      </c>
      <c r="D4" s="87" t="s">
        <v>126</v>
      </c>
      <c r="E4" s="87" t="s">
        <v>127</v>
      </c>
      <c r="F4" s="87" t="s">
        <v>128</v>
      </c>
      <c r="G4" s="87" t="s">
        <v>129</v>
      </c>
    </row>
    <row r="5" spans="1:10">
      <c r="B5" s="88">
        <v>0</v>
      </c>
      <c r="C5" s="88">
        <f>-'17.Tre.An'!C7</f>
        <v>-3775000.8717999998</v>
      </c>
      <c r="D5" s="88"/>
      <c r="E5" s="88">
        <f>C5+D5</f>
        <v>-3775000.8717999998</v>
      </c>
      <c r="F5" s="88">
        <f>E5/(1+$J$5)^$B5</f>
        <v>-3775000.8717999998</v>
      </c>
      <c r="G5" s="88">
        <f>F5</f>
        <v>-3775000.8717999998</v>
      </c>
      <c r="I5" s="92" t="s">
        <v>134</v>
      </c>
      <c r="J5" s="93">
        <v>0.1</v>
      </c>
    </row>
    <row r="6" spans="1:10">
      <c r="B6" s="88">
        <v>1</v>
      </c>
      <c r="C6" s="88">
        <f>-'17.Tre.An'!D7</f>
        <v>0</v>
      </c>
      <c r="D6" s="88" t="e">
        <f t="array" ref="D6:D8">TRANSPOSE('16.CR'!C45:E45)</f>
        <v>#VALUE!</v>
      </c>
      <c r="E6" s="88" t="e">
        <f>C6+D6</f>
        <v>#VALUE!</v>
      </c>
      <c r="F6" s="88" t="e">
        <f t="shared" ref="F6:F10" si="0">E6/(1+$J$5)^$B6</f>
        <v>#VALUE!</v>
      </c>
      <c r="G6" s="88" t="e">
        <f>F6+G5</f>
        <v>#VALUE!</v>
      </c>
    </row>
    <row r="7" spans="1:10">
      <c r="B7" s="88">
        <v>2</v>
      </c>
      <c r="C7" s="88">
        <f>-'17.Tre.An'!E7</f>
        <v>0</v>
      </c>
      <c r="D7" s="88" t="e">
        <v>#VALUE!</v>
      </c>
      <c r="E7" s="88" t="e">
        <f>C7+D7</f>
        <v>#VALUE!</v>
      </c>
      <c r="F7" s="88" t="e">
        <f t="shared" si="0"/>
        <v>#VALUE!</v>
      </c>
      <c r="G7" s="88" t="e">
        <f t="shared" ref="G7:G10" si="1">F7+G6</f>
        <v>#VALUE!</v>
      </c>
    </row>
    <row r="8" spans="1:10">
      <c r="B8" s="88">
        <v>3</v>
      </c>
      <c r="C8" s="88"/>
      <c r="D8" s="88" t="e">
        <v>#VALUE!</v>
      </c>
      <c r="E8" s="88" t="e">
        <f>C8+D8</f>
        <v>#VALUE!</v>
      </c>
      <c r="F8" s="88" t="e">
        <f t="shared" si="0"/>
        <v>#VALUE!</v>
      </c>
      <c r="G8" s="88" t="e">
        <f t="shared" si="1"/>
        <v>#VALUE!</v>
      </c>
    </row>
    <row r="9" spans="1:10">
      <c r="B9" s="88">
        <v>4</v>
      </c>
      <c r="C9" s="88"/>
      <c r="D9" s="88" t="e">
        <f>D8</f>
        <v>#VALUE!</v>
      </c>
      <c r="E9" s="88" t="e">
        <f t="shared" ref="E9:E10" si="2">C9+D9</f>
        <v>#VALUE!</v>
      </c>
      <c r="F9" s="88" t="e">
        <f t="shared" si="0"/>
        <v>#VALUE!</v>
      </c>
      <c r="G9" s="88" t="e">
        <f t="shared" si="1"/>
        <v>#VALUE!</v>
      </c>
    </row>
    <row r="10" spans="1:10">
      <c r="B10" s="88">
        <v>5</v>
      </c>
      <c r="C10" s="88"/>
      <c r="D10" s="88" t="e">
        <f t="shared" ref="D10" si="3">D9</f>
        <v>#VALUE!</v>
      </c>
      <c r="E10" s="88" t="e">
        <f t="shared" si="2"/>
        <v>#VALUE!</v>
      </c>
      <c r="F10" s="88" t="e">
        <f t="shared" si="0"/>
        <v>#VALUE!</v>
      </c>
      <c r="G10" s="88" t="e">
        <f t="shared" si="1"/>
        <v>#VALUE!</v>
      </c>
    </row>
    <row r="11" spans="1:10">
      <c r="B11" s="90"/>
      <c r="C11" s="90"/>
      <c r="D11" s="90"/>
      <c r="E11" s="92" t="s">
        <v>82</v>
      </c>
      <c r="F11" s="89" t="e">
        <f>SUM(F5:F10)</f>
        <v>#VALUE!</v>
      </c>
      <c r="G11" s="89"/>
    </row>
    <row r="12" spans="1:10">
      <c r="B12" s="90"/>
      <c r="C12" s="90"/>
      <c r="D12" s="90"/>
      <c r="E12" s="92" t="s">
        <v>132</v>
      </c>
      <c r="F12" s="94" t="e">
        <f>IRR(G5:G10)</f>
        <v>#VALUE!</v>
      </c>
      <c r="G12" s="89"/>
    </row>
    <row r="13" spans="1:10">
      <c r="B13" s="90"/>
      <c r="C13" s="90"/>
      <c r="D13" s="90"/>
      <c r="E13" s="92" t="s">
        <v>133</v>
      </c>
      <c r="F13" s="89"/>
      <c r="G13" s="89"/>
    </row>
    <row r="15" spans="1:10">
      <c r="F15" t="s">
        <v>153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58C9-65C0-442B-9394-CDCDE913A1CB}">
  <sheetPr>
    <tabColor rgb="FF7030A0"/>
  </sheetPr>
  <dimension ref="A1:G21"/>
  <sheetViews>
    <sheetView workbookViewId="0">
      <selection activeCell="D11" sqref="D11"/>
    </sheetView>
  </sheetViews>
  <sheetFormatPr baseColWidth="10" defaultRowHeight="15"/>
  <cols>
    <col min="2" max="2" width="26.5" bestFit="1" customWidth="1"/>
    <col min="3" max="3" width="10.83203125" bestFit="1" customWidth="1"/>
    <col min="4" max="5" width="12.5" bestFit="1" customWidth="1"/>
  </cols>
  <sheetData>
    <row r="1" spans="1:7">
      <c r="A1" s="124" t="s">
        <v>351</v>
      </c>
    </row>
    <row r="3" spans="1:7">
      <c r="B3" s="24" t="s">
        <v>135</v>
      </c>
      <c r="C3" s="95" t="s">
        <v>68</v>
      </c>
      <c r="D3" s="96" t="s">
        <v>69</v>
      </c>
      <c r="E3" s="96" t="s">
        <v>70</v>
      </c>
    </row>
    <row r="4" spans="1:7">
      <c r="B4" s="97" t="s">
        <v>136</v>
      </c>
      <c r="C4" s="98"/>
      <c r="D4" s="99"/>
      <c r="E4" s="99"/>
    </row>
    <row r="5" spans="1:7">
      <c r="B5" s="26"/>
      <c r="C5" s="100" t="s">
        <v>137</v>
      </c>
      <c r="D5" s="100" t="s">
        <v>137</v>
      </c>
      <c r="E5" s="100" t="s">
        <v>137</v>
      </c>
    </row>
    <row r="6" spans="1:7">
      <c r="B6" s="101" t="s">
        <v>138</v>
      </c>
      <c r="C6" s="102" t="e">
        <f>SUM('7.Bud.Inv.'!$Q22:Q22)-'12.Char.Dir'!P29-'14.Char.Ind'!P14</f>
        <v>#VALUE!</v>
      </c>
      <c r="D6" s="102" t="e">
        <f>C6-'12.Char.Dir'!Q29-'14.Char.Ind'!Q14</f>
        <v>#VALUE!</v>
      </c>
      <c r="E6" s="102" t="e">
        <f>D6-'12.Char.Dir'!R29-'14.Char.Ind'!R14</f>
        <v>#VALUE!</v>
      </c>
      <c r="G6" t="s">
        <v>154</v>
      </c>
    </row>
    <row r="7" spans="1:7">
      <c r="B7" s="101" t="s">
        <v>139</v>
      </c>
      <c r="C7" s="102" t="e">
        <f>'17.Tre.An'!C25</f>
        <v>#VALUE!</v>
      </c>
      <c r="D7" s="102" t="e">
        <f>'17.Tre.An'!D25</f>
        <v>#VALUE!</v>
      </c>
      <c r="E7" s="102" t="e">
        <f>'17.Tre.An'!E25</f>
        <v>#VALUE!</v>
      </c>
    </row>
    <row r="8" spans="1:7">
      <c r="B8" s="101" t="s">
        <v>96</v>
      </c>
      <c r="C8" s="102" t="e">
        <f>C7+C6</f>
        <v>#VALUE!</v>
      </c>
      <c r="D8" s="102" t="e">
        <f>D7+D6</f>
        <v>#VALUE!</v>
      </c>
      <c r="E8" s="102" t="e">
        <f>E7+E6</f>
        <v>#VALUE!</v>
      </c>
    </row>
    <row r="9" spans="1:7">
      <c r="B9" s="97" t="s">
        <v>140</v>
      </c>
      <c r="C9" s="104"/>
      <c r="D9" s="104"/>
      <c r="E9" s="104"/>
    </row>
    <row r="10" spans="1:7">
      <c r="B10" s="26"/>
      <c r="C10" s="100" t="s">
        <v>137</v>
      </c>
      <c r="D10" s="100" t="s">
        <v>137</v>
      </c>
      <c r="E10" s="100" t="s">
        <v>137</v>
      </c>
    </row>
    <row r="11" spans="1:7">
      <c r="B11" s="105" t="s">
        <v>141</v>
      </c>
      <c r="C11" s="102" t="e">
        <f>SUM(C12:C14)</f>
        <v>#VALUE!</v>
      </c>
      <c r="D11" s="102" t="e">
        <f>SUM(D12:D14)</f>
        <v>#VALUE!</v>
      </c>
      <c r="E11" s="102" t="e">
        <f>SUM(E12:E14)</f>
        <v>#VALUE!</v>
      </c>
    </row>
    <row r="12" spans="1:7">
      <c r="B12" s="106" t="s">
        <v>142</v>
      </c>
      <c r="C12" s="107" t="e">
        <f>'16.CR'!C45-'16.CR'!C39</f>
        <v>#VALUE!</v>
      </c>
      <c r="D12" s="107" t="e">
        <f>'16.CR'!D45-'16.CR'!D39</f>
        <v>#VALUE!</v>
      </c>
      <c r="E12" s="107" t="e">
        <f>'16.CR'!E45-'16.CR'!E39</f>
        <v>#VALUE!</v>
      </c>
    </row>
    <row r="13" spans="1:7" ht="17.5" customHeight="1">
      <c r="B13" s="106" t="s">
        <v>143</v>
      </c>
      <c r="C13" s="103">
        <f>IF('1.Var.Fin'!B$19&lt;=0,'1.Var.Fin'!B$17,0)</f>
        <v>0</v>
      </c>
      <c r="D13" s="103">
        <f>IF('1.Var.Fin'!C$19&lt;=0,'1.Var.Fin'!C$17,0)</f>
        <v>0</v>
      </c>
      <c r="E13" s="103">
        <f>IF('1.Var.Fin'!D$19&lt;=0,'1.Var.Fin'!D$17,0)</f>
        <v>0</v>
      </c>
    </row>
    <row r="14" spans="1:7">
      <c r="B14" s="106" t="s">
        <v>144</v>
      </c>
      <c r="C14" s="103">
        <v>0</v>
      </c>
      <c r="D14" s="103" t="e">
        <f>C14+C12</f>
        <v>#VALUE!</v>
      </c>
      <c r="E14" s="103" t="e">
        <f>D14+D12</f>
        <v>#VALUE!</v>
      </c>
    </row>
    <row r="15" spans="1:7">
      <c r="B15" s="105" t="s">
        <v>145</v>
      </c>
      <c r="C15" s="102">
        <f>SUM(C16:C16)</f>
        <v>53163.311064336056</v>
      </c>
      <c r="D15" s="102">
        <f>SUM(D16:D16)</f>
        <v>27726.320124462363</v>
      </c>
      <c r="E15" s="102">
        <f>SUM(E16:E16)</f>
        <v>0</v>
      </c>
    </row>
    <row r="16" spans="1:7">
      <c r="B16" s="106" t="s">
        <v>146</v>
      </c>
      <c r="C16" s="103">
        <f>'1.Var.Fin'!$B$5-SUM('17.Tre.An'!$C21:C21)</f>
        <v>53163.311064336056</v>
      </c>
      <c r="D16" s="103">
        <f>'1.Var.Fin'!$B$5-SUM('17.Tre.An'!$C21:D21)</f>
        <v>27726.320124462363</v>
      </c>
      <c r="E16" s="103">
        <f>'1.Var.Fin'!$B$5-SUM('17.Tre.An'!$C21:E21)</f>
        <v>0</v>
      </c>
    </row>
    <row r="17" spans="2:5">
      <c r="B17" s="105" t="s">
        <v>147</v>
      </c>
      <c r="C17" s="102">
        <v>0</v>
      </c>
      <c r="D17" s="102">
        <v>0</v>
      </c>
      <c r="E17" s="102">
        <v>0</v>
      </c>
    </row>
    <row r="18" spans="2:5">
      <c r="B18" s="101" t="s">
        <v>96</v>
      </c>
      <c r="C18" s="102" t="e">
        <f>C17+C15+C11</f>
        <v>#VALUE!</v>
      </c>
      <c r="D18" s="102" t="e">
        <f>D17+D15+D11</f>
        <v>#VALUE!</v>
      </c>
      <c r="E18" s="102" t="e">
        <f>E17+E15+E11</f>
        <v>#VALUE!</v>
      </c>
    </row>
    <row r="20" spans="2:5">
      <c r="C20" s="2" t="e">
        <f>C18-C8</f>
        <v>#VALUE!</v>
      </c>
      <c r="D20" s="2" t="e">
        <f t="shared" ref="D20:E20" si="0">D18-D8</f>
        <v>#VALUE!</v>
      </c>
      <c r="E20" s="2" t="e">
        <f t="shared" si="0"/>
        <v>#VALUE!</v>
      </c>
    </row>
    <row r="21" spans="2:5">
      <c r="E21" s="2" t="e">
        <f>E20-D20</f>
        <v>#VALUE!</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AE30-8A15-464F-A49E-F3AD6AB78B4F}">
  <sheetPr>
    <tabColor rgb="FF7030A0"/>
  </sheetPr>
  <dimension ref="A1:I47"/>
  <sheetViews>
    <sheetView topLeftCell="A19" zoomScale="85" zoomScaleNormal="85" workbookViewId="0">
      <selection activeCell="F34" sqref="F34"/>
    </sheetView>
  </sheetViews>
  <sheetFormatPr baseColWidth="10" defaultColWidth="10.83203125" defaultRowHeight="13"/>
  <cols>
    <col min="1" max="1" width="37.33203125" style="24" customWidth="1"/>
    <col min="2" max="2" width="21.33203125" style="24" customWidth="1"/>
    <col min="3" max="5" width="10.83203125" style="1" bestFit="1" customWidth="1"/>
    <col min="6" max="6" width="13.5" style="24" bestFit="1" customWidth="1"/>
    <col min="7" max="7" width="12.5" style="24" bestFit="1" customWidth="1"/>
    <col min="8" max="8" width="11.6640625" style="24" bestFit="1" customWidth="1"/>
    <col min="9" max="9" width="10.83203125" style="24"/>
    <col min="10" max="10" width="13.5" style="24" bestFit="1" customWidth="1"/>
    <col min="11" max="11" width="10.83203125" style="24"/>
    <col min="12" max="12" width="11" style="24" bestFit="1" customWidth="1"/>
    <col min="13" max="13" width="10.83203125" style="24"/>
    <col min="14" max="14" width="11.6640625" style="24" bestFit="1" customWidth="1"/>
    <col min="15" max="16384" width="10.83203125" style="24"/>
  </cols>
  <sheetData>
    <row r="1" spans="1:9" ht="14">
      <c r="A1" s="124" t="s">
        <v>160</v>
      </c>
      <c r="B1" s="124"/>
    </row>
    <row r="2" spans="1:9" ht="16">
      <c r="A2" s="38"/>
      <c r="B2" s="38"/>
      <c r="C2" s="39"/>
      <c r="D2" s="39"/>
      <c r="E2" s="39"/>
    </row>
    <row r="3" spans="1:9" s="25" customFormat="1" ht="15">
      <c r="A3" s="27"/>
      <c r="B3" s="27" t="s">
        <v>312</v>
      </c>
      <c r="C3" s="245" t="s">
        <v>68</v>
      </c>
      <c r="D3" s="245" t="s">
        <v>69</v>
      </c>
      <c r="E3" s="245" t="s">
        <v>70</v>
      </c>
      <c r="H3" s="229"/>
      <c r="I3" s="229"/>
    </row>
    <row r="4" spans="1:9" ht="15">
      <c r="A4" s="28" t="str">
        <f>'8.Prod'!A4</f>
        <v>Ventes de marchandises</v>
      </c>
      <c r="B4" s="28" t="str">
        <f>'8.Prod'!B4</f>
        <v>CA de Tenue de luxe Homme</v>
      </c>
      <c r="C4" s="31" t="e">
        <f>SUMIF('10.Vente'!$A:$A,'20.CR IFRS'!$A4,'10.Vente'!P:P)</f>
        <v>#VALUE!</v>
      </c>
      <c r="D4" s="31" t="e">
        <f>SUMIF('10.Vente'!$A:$A,'20.CR IFRS'!$A4,'10.Vente'!Q:Q)</f>
        <v>#VALUE!</v>
      </c>
      <c r="E4" s="31" t="e">
        <f>SUMIF('10.Vente'!$A:$A,'20.CR IFRS'!$A4,'10.Vente'!R:R)</f>
        <v>#VALUE!</v>
      </c>
      <c r="H4"/>
      <c r="I4"/>
    </row>
    <row r="5" spans="1:9" ht="15">
      <c r="A5" s="28" t="str">
        <f>'8.Prod'!A8</f>
        <v>Ventes de produits fabriqués</v>
      </c>
      <c r="B5" s="28">
        <f>'8.Prod'!B8</f>
        <v>0</v>
      </c>
      <c r="C5" s="31">
        <f>SUMIF('10.Vente'!$A:$A,'20.CR IFRS'!$A5,'10.Vente'!P:P)</f>
        <v>0</v>
      </c>
      <c r="D5" s="31">
        <f>SUMIF('10.Vente'!$A:$A,'20.CR IFRS'!$A5,'10.Vente'!Q:Q)</f>
        <v>0</v>
      </c>
      <c r="E5" s="31">
        <f>SUMIF('10.Vente'!$A:$A,'20.CR IFRS'!$A5,'10.Vente'!R:R)</f>
        <v>0</v>
      </c>
      <c r="H5"/>
      <c r="I5"/>
    </row>
    <row r="6" spans="1:9" ht="15">
      <c r="A6" s="28" t="str">
        <f>'8.Prod'!A9</f>
        <v>Vente de services</v>
      </c>
      <c r="B6" s="28">
        <f>'8.Prod'!B9</f>
        <v>0</v>
      </c>
      <c r="C6" s="31">
        <f>SUMIF('10.Vente'!$A:$A,'20.CR IFRS'!$A6,'10.Vente'!P:P)</f>
        <v>0</v>
      </c>
      <c r="D6" s="31">
        <f>SUMIF('10.Vente'!$A:$A,'20.CR IFRS'!$A6,'10.Vente'!Q:Q)</f>
        <v>0</v>
      </c>
      <c r="E6" s="31">
        <f>SUMIF('10.Vente'!$A:$A,'20.CR IFRS'!$A6,'10.Vente'!R:R)</f>
        <v>0</v>
      </c>
      <c r="H6"/>
      <c r="I6"/>
    </row>
    <row r="7" spans="1:9" ht="15">
      <c r="A7" s="28" t="str">
        <f>'8.Prod'!A10</f>
        <v>Ventes d'autre produits</v>
      </c>
      <c r="B7" s="28">
        <f>'8.Prod'!B10</f>
        <v>0</v>
      </c>
      <c r="C7" s="31">
        <f>SUMIF('10.Vente'!$A:$A,'20.CR IFRS'!$A7,'10.Vente'!P:P)</f>
        <v>0</v>
      </c>
      <c r="D7" s="31">
        <f>SUMIF('10.Vente'!$A:$A,'20.CR IFRS'!$A7,'10.Vente'!Q:Q)</f>
        <v>0</v>
      </c>
      <c r="E7" s="31">
        <f>SUMIF('10.Vente'!$A:$A,'20.CR IFRS'!$A7,'10.Vente'!R:R)</f>
        <v>0</v>
      </c>
      <c r="H7"/>
      <c r="I7"/>
    </row>
    <row r="8" spans="1:9" ht="15">
      <c r="A8" s="27" t="s">
        <v>197</v>
      </c>
      <c r="B8" s="27" t="s">
        <v>197</v>
      </c>
      <c r="C8" s="31" t="e">
        <f>SUM(C4:C7)</f>
        <v>#VALUE!</v>
      </c>
      <c r="D8" s="31" t="e">
        <f>SUM(D4:D7)</f>
        <v>#VALUE!</v>
      </c>
      <c r="E8" s="31" t="e">
        <f>SUM(E4:E7)</f>
        <v>#VALUE!</v>
      </c>
      <c r="H8"/>
      <c r="I8"/>
    </row>
    <row r="9" spans="1:9" ht="15">
      <c r="A9" s="28" t="str">
        <f>'11.Charges'!A4</f>
        <v>Achat de marchandises</v>
      </c>
      <c r="B9" s="28" t="str">
        <f>'11.Charges'!B4</f>
        <v>Achat de Tenue de luxe Homme</v>
      </c>
      <c r="C9" s="31">
        <f>SUMIF('12.Char.Dir'!$A:$A,'20.CR IFRS'!$A9,'12.Char.Dir'!P:P)</f>
        <v>16200000</v>
      </c>
      <c r="D9" s="31">
        <f>SUMIF('12.Char.Dir'!$A:$A,'20.CR IFRS'!$A9,'12.Char.Dir'!Q:Q)</f>
        <v>17820000</v>
      </c>
      <c r="E9" s="31">
        <f>SUMIF('12.Char.Dir'!$A:$A,'20.CR IFRS'!$A9,'12.Char.Dir'!R:R)</f>
        <v>19602000</v>
      </c>
      <c r="H9"/>
      <c r="I9"/>
    </row>
    <row r="10" spans="1:9" ht="15">
      <c r="A10" s="28" t="str">
        <f>'11.Charges'!A8</f>
        <v>Achat de MP</v>
      </c>
      <c r="B10" s="28">
        <f>'11.Charges'!B8</f>
        <v>0</v>
      </c>
      <c r="C10" s="31">
        <f>SUMIF('12.Char.Dir'!$A:$A,'20.CR IFRS'!$A10,'12.Char.Dir'!P:P)</f>
        <v>0</v>
      </c>
      <c r="D10" s="31">
        <f>SUMIF('12.Char.Dir'!$A:$A,'20.CR IFRS'!$A10,'12.Char.Dir'!Q:Q)</f>
        <v>0</v>
      </c>
      <c r="E10" s="31">
        <f>SUMIF('12.Char.Dir'!$A:$A,'20.CR IFRS'!$A10,'12.Char.Dir'!R:R)</f>
        <v>0</v>
      </c>
      <c r="H10"/>
      <c r="I10"/>
    </row>
    <row r="11" spans="1:9" ht="15">
      <c r="A11" s="28" t="str">
        <f>'11.Charges'!A9</f>
        <v>Main d'œuvre directe vente</v>
      </c>
      <c r="B11" s="28">
        <f>'11.Charges'!B9</f>
        <v>0</v>
      </c>
      <c r="C11" s="31">
        <f>SUMIF('12.Char.Dir'!$A:$A,'20.CR IFRS'!$A11,'12.Char.Dir'!P:P)</f>
        <v>0</v>
      </c>
      <c r="D11" s="31">
        <f>SUMIF('12.Char.Dir'!$A:$A,'20.CR IFRS'!$A11,'12.Char.Dir'!Q:Q)</f>
        <v>0</v>
      </c>
      <c r="E11" s="31">
        <f>SUMIF('12.Char.Dir'!$A:$A,'20.CR IFRS'!$A11,'12.Char.Dir'!R:R)</f>
        <v>0</v>
      </c>
      <c r="H11"/>
      <c r="I11"/>
    </row>
    <row r="12" spans="1:9" ht="15">
      <c r="A12" s="28" t="str">
        <f>'11.Charges'!A10</f>
        <v>Main d'œuvre directe transformation</v>
      </c>
      <c r="B12" s="28">
        <f>'11.Charges'!B10</f>
        <v>0</v>
      </c>
      <c r="C12" s="31">
        <f>SUMIF('12.Char.Dir'!$A:$A,'20.CR IFRS'!$A12,'12.Char.Dir'!P:P)</f>
        <v>0</v>
      </c>
      <c r="D12" s="31">
        <f>SUMIF('12.Char.Dir'!$A:$A,'20.CR IFRS'!$A12,'12.Char.Dir'!Q:Q)</f>
        <v>0</v>
      </c>
      <c r="E12" s="31">
        <f>SUMIF('12.Char.Dir'!$A:$A,'20.CR IFRS'!$A12,'12.Char.Dir'!R:R)</f>
        <v>0</v>
      </c>
      <c r="H12"/>
      <c r="I12"/>
    </row>
    <row r="13" spans="1:9" ht="15">
      <c r="A13" s="28" t="str">
        <f>'11.Charges'!A11</f>
        <v>Main d'œuvre directe vente de services</v>
      </c>
      <c r="B13" s="28">
        <f>'11.Charges'!B11</f>
        <v>0</v>
      </c>
      <c r="C13" s="31">
        <f>SUMIF('12.Char.Dir'!$A:$A,'20.CR IFRS'!$A13,'12.Char.Dir'!P:P)</f>
        <v>0</v>
      </c>
      <c r="D13" s="31">
        <f>SUMIF('12.Char.Dir'!$A:$A,'20.CR IFRS'!$A13,'12.Char.Dir'!Q:Q)</f>
        <v>0</v>
      </c>
      <c r="E13" s="31">
        <f>SUMIF('12.Char.Dir'!$A:$A,'20.CR IFRS'!$A13,'12.Char.Dir'!R:R)</f>
        <v>0</v>
      </c>
      <c r="H13"/>
      <c r="I13"/>
    </row>
    <row r="14" spans="1:9" ht="15">
      <c r="A14" s="28" t="str">
        <f>'11.Charges'!A12</f>
        <v xml:space="preserve">Frais indirects de transformation </v>
      </c>
      <c r="B14" s="28">
        <f>'11.Charges'!B12</f>
        <v>0</v>
      </c>
      <c r="C14" s="31">
        <f>SUMIF('12.Char.Dir'!$A:$A,'20.CR IFRS'!$A14,'12.Char.Dir'!P:P)</f>
        <v>0</v>
      </c>
      <c r="D14" s="31">
        <f>SUMIF('12.Char.Dir'!$A:$A,'20.CR IFRS'!$A14,'12.Char.Dir'!Q:Q)</f>
        <v>0</v>
      </c>
      <c r="E14" s="31">
        <f>SUMIF('12.Char.Dir'!$A:$A,'20.CR IFRS'!$A14,'12.Char.Dir'!R:R)</f>
        <v>0</v>
      </c>
      <c r="H14"/>
      <c r="I14"/>
    </row>
    <row r="15" spans="1:9" ht="15">
      <c r="A15" s="28" t="str">
        <f>'11.Charges'!A13</f>
        <v>Frais indirects de vente</v>
      </c>
      <c r="B15" s="28" t="str">
        <f>'11.Charges'!B13</f>
        <v>Logistique Tenue de luxe Homme</v>
      </c>
      <c r="C15" s="31">
        <f>SUMIF('12.Char.Dir'!$A:$A,'20.CR IFRS'!$A15,'12.Char.Dir'!P:P)</f>
        <v>2160000</v>
      </c>
      <c r="D15" s="31">
        <f>SUMIF('12.Char.Dir'!$A:$A,'20.CR IFRS'!$A15,'12.Char.Dir'!Q:Q)</f>
        <v>2376000</v>
      </c>
      <c r="E15" s="31">
        <f>SUMIF('12.Char.Dir'!$A:$A,'20.CR IFRS'!$A15,'12.Char.Dir'!R:R)</f>
        <v>2613600</v>
      </c>
      <c r="H15"/>
      <c r="I15"/>
    </row>
    <row r="16" spans="1:9" ht="15">
      <c r="A16" s="28" t="str">
        <f>'11.Charges'!A25</f>
        <v>Frais indirects de vente de services</v>
      </c>
      <c r="B16" s="28">
        <f>'11.Charges'!B25</f>
        <v>0</v>
      </c>
      <c r="C16" s="31">
        <f>SUMIF('12.Char.Dir'!$A:$A,'20.CR IFRS'!$A16,'12.Char.Dir'!P:P)</f>
        <v>0</v>
      </c>
      <c r="D16" s="31">
        <f>SUMIF('12.Char.Dir'!$A:$A,'20.CR IFRS'!$A16,'12.Char.Dir'!Q:Q)</f>
        <v>0</v>
      </c>
      <c r="E16" s="31">
        <f>SUMIF('12.Char.Dir'!$A:$A,'20.CR IFRS'!$A16,'12.Char.Dir'!R:R)</f>
        <v>0</v>
      </c>
      <c r="H16"/>
      <c r="I16"/>
    </row>
    <row r="17" spans="1:9" ht="15">
      <c r="A17" s="27" t="s">
        <v>195</v>
      </c>
      <c r="B17" s="27" t="s">
        <v>195</v>
      </c>
      <c r="C17" s="33">
        <f>SUM(C9:C16)</f>
        <v>18360000</v>
      </c>
      <c r="D17" s="33">
        <f>SUM(D9:D16)</f>
        <v>20196000</v>
      </c>
      <c r="E17" s="33">
        <f>SUM(E9:E16)</f>
        <v>22215600</v>
      </c>
      <c r="H17"/>
      <c r="I17"/>
    </row>
    <row r="18" spans="1:9" ht="15">
      <c r="A18" s="29" t="s">
        <v>67</v>
      </c>
      <c r="B18" s="29" t="s">
        <v>67</v>
      </c>
      <c r="C18" s="33" t="e">
        <f>C8-C17</f>
        <v>#VALUE!</v>
      </c>
      <c r="D18" s="33" t="e">
        <f>D8-D17</f>
        <v>#VALUE!</v>
      </c>
      <c r="E18" s="33" t="e">
        <f>E8-E17</f>
        <v>#VALUE!</v>
      </c>
      <c r="H18"/>
      <c r="I18"/>
    </row>
    <row r="19" spans="1:9" ht="15">
      <c r="A19" s="130" t="s">
        <v>196</v>
      </c>
      <c r="B19" s="130" t="s">
        <v>196</v>
      </c>
      <c r="C19" s="131" t="e">
        <f>C18/C$8</f>
        <v>#VALUE!</v>
      </c>
      <c r="D19" s="131" t="e">
        <f t="shared" ref="D19:E19" si="0">D18/D$8</f>
        <v>#VALUE!</v>
      </c>
      <c r="E19" s="131" t="e">
        <f t="shared" si="0"/>
        <v>#VALUE!</v>
      </c>
      <c r="H19"/>
      <c r="I19"/>
    </row>
    <row r="20" spans="1:9" ht="15">
      <c r="A20" s="28" t="str">
        <f>'11.Charges'!A29</f>
        <v>Action commerciale</v>
      </c>
      <c r="B20" s="28" t="str">
        <f>'11.Charges'!B29</f>
        <v>Sponsoring page réseaux sociaux</v>
      </c>
      <c r="C20" s="31">
        <f>SUMIF('14.Char.Ind'!$A:$A,'20.CR IFRS'!$A20,'14.Char.Ind'!P:P)</f>
        <v>1900000</v>
      </c>
      <c r="D20" s="31">
        <f>SUMIF('14.Char.Ind'!$A:$A,'20.CR IFRS'!$A20,'14.Char.Ind'!Q:Q)</f>
        <v>1900000</v>
      </c>
      <c r="E20" s="31">
        <f>SUMIF('14.Char.Ind'!$A:$A,'20.CR IFRS'!$A20,'14.Char.Ind'!R:R)</f>
        <v>1900000</v>
      </c>
      <c r="H20"/>
      <c r="I20"/>
    </row>
    <row r="21" spans="1:9" ht="15">
      <c r="A21" s="28" t="str">
        <f>'11.Charges'!A30</f>
        <v xml:space="preserve">Frais Généraux </v>
      </c>
      <c r="B21" s="28" t="str">
        <f>'11.Charges'!B30</f>
        <v>Frais administration</v>
      </c>
      <c r="C21" s="31">
        <f>SUMIF('14.Char.Ind'!$A:$A,'20.CR IFRS'!$A21,'14.Char.Ind'!P:P)</f>
        <v>300000</v>
      </c>
      <c r="D21" s="31">
        <f>SUMIF('14.Char.Ind'!$A:$A,'20.CR IFRS'!$A21,'14.Char.Ind'!Q:Q)</f>
        <v>300000</v>
      </c>
      <c r="E21" s="31">
        <f>SUMIF('14.Char.Ind'!$A:$A,'20.CR IFRS'!$A21,'14.Char.Ind'!R:R)</f>
        <v>300000</v>
      </c>
      <c r="H21"/>
      <c r="I21"/>
    </row>
    <row r="22" spans="1:9" ht="15">
      <c r="A22" s="28" t="str">
        <f>'11.Charges'!A31</f>
        <v>Energie/Electricité/ Eau</v>
      </c>
      <c r="B22" s="28" t="str">
        <f>'11.Charges'!B31</f>
        <v>Eau</v>
      </c>
      <c r="C22" s="31">
        <f>SUMIF('14.Char.Ind'!$A:$A,'20.CR IFRS'!$A22,'14.Char.Ind'!P:P)</f>
        <v>990000</v>
      </c>
      <c r="D22" s="31">
        <f>SUMIF('14.Char.Ind'!$A:$A,'20.CR IFRS'!$A22,'14.Char.Ind'!Q:Q)</f>
        <v>990000</v>
      </c>
      <c r="E22" s="31">
        <f>SUMIF('14.Char.Ind'!$A:$A,'20.CR IFRS'!$A22,'14.Char.Ind'!R:R)</f>
        <v>990000</v>
      </c>
      <c r="H22"/>
      <c r="I22"/>
    </row>
    <row r="23" spans="1:9" ht="15">
      <c r="A23" s="28" t="str">
        <f>'11.Charges'!A32</f>
        <v xml:space="preserve">Frais de transport </v>
      </c>
      <c r="B23" s="28" t="str">
        <f>'11.Charges'!B32</f>
        <v>Carburant</v>
      </c>
      <c r="C23" s="31">
        <f>SUMIF('14.Char.Ind'!$A:$A,'20.CR IFRS'!$A23,'14.Char.Ind'!P:P)</f>
        <v>600000</v>
      </c>
      <c r="D23" s="31">
        <f>SUMIF('14.Char.Ind'!$A:$A,'20.CR IFRS'!$A23,'14.Char.Ind'!Q:Q)</f>
        <v>600000</v>
      </c>
      <c r="E23" s="31">
        <f>SUMIF('14.Char.Ind'!$A:$A,'20.CR IFRS'!$A23,'14.Char.Ind'!R:R)</f>
        <v>600000</v>
      </c>
      <c r="H23"/>
      <c r="I23"/>
    </row>
    <row r="24" spans="1:9" ht="15">
      <c r="A24" s="28" t="str">
        <f>'11.Charges'!A33</f>
        <v>Frais de communication</v>
      </c>
      <c r="B24" s="28" t="str">
        <f>'11.Charges'!B33</f>
        <v>Telephone / Internet</v>
      </c>
      <c r="C24" s="31">
        <f>SUMIF('14.Char.Ind'!$A:$A,'20.CR IFRS'!$A24,'14.Char.Ind'!P:P)</f>
        <v>600000</v>
      </c>
      <c r="D24" s="31">
        <f>SUMIF('14.Char.Ind'!$A:$A,'20.CR IFRS'!$A24,'14.Char.Ind'!Q:Q)</f>
        <v>600000</v>
      </c>
      <c r="E24" s="31">
        <f>SUMIF('14.Char.Ind'!$A:$A,'20.CR IFRS'!$A24,'14.Char.Ind'!R:R)</f>
        <v>600000</v>
      </c>
      <c r="H24"/>
      <c r="I24"/>
    </row>
    <row r="25" spans="1:9" ht="15">
      <c r="A25" s="28" t="str">
        <f>'11.Charges'!A34</f>
        <v xml:space="preserve">Publicité et Marketing </v>
      </c>
      <c r="B25" s="28">
        <f>'11.Charges'!B34</f>
        <v>0</v>
      </c>
      <c r="C25" s="31">
        <f>SUMIF('14.Char.Ind'!$A:$A,'20.CR IFRS'!$A25,'14.Char.Ind'!P:P)</f>
        <v>0</v>
      </c>
      <c r="D25" s="31">
        <f>SUMIF('14.Char.Ind'!$A:$A,'20.CR IFRS'!$A25,'14.Char.Ind'!Q:Q)</f>
        <v>0</v>
      </c>
      <c r="E25" s="31">
        <f>SUMIF('14.Char.Ind'!$A:$A,'20.CR IFRS'!$A25,'14.Char.Ind'!R:R)</f>
        <v>0</v>
      </c>
      <c r="H25"/>
      <c r="I25"/>
    </row>
    <row r="26" spans="1:9" ht="15">
      <c r="A26" s="28" t="str">
        <f>'11.Charges'!A35</f>
        <v>Location</v>
      </c>
      <c r="B26" s="28" t="str">
        <f>'11.Charges'!B35</f>
        <v>Loyer</v>
      </c>
      <c r="C26" s="31">
        <f>SUMIF('14.Char.Ind'!$A:$A,'20.CR IFRS'!$A26,'14.Char.Ind'!P:P)</f>
        <v>3000000</v>
      </c>
      <c r="D26" s="31">
        <f>SUMIF('14.Char.Ind'!$A:$A,'20.CR IFRS'!$A26,'14.Char.Ind'!Q:Q)</f>
        <v>3000000</v>
      </c>
      <c r="E26" s="31">
        <f>SUMIF('14.Char.Ind'!$A:$A,'20.CR IFRS'!$A26,'14.Char.Ind'!R:R)</f>
        <v>3000000</v>
      </c>
      <c r="H26"/>
      <c r="I26"/>
    </row>
    <row r="27" spans="1:9" ht="15">
      <c r="A27" s="28" t="str">
        <f>'11.Charges'!A36</f>
        <v>Assurance</v>
      </c>
      <c r="B27" s="28" t="str">
        <f>'11.Charges'!B36</f>
        <v>Assurance voiture</v>
      </c>
      <c r="C27" s="31">
        <f>SUMIF('14.Char.Ind'!$A:$A,'20.CR IFRS'!$A27,'14.Char.Ind'!P:P)</f>
        <v>144000</v>
      </c>
      <c r="D27" s="31">
        <f>SUMIF('14.Char.Ind'!$A:$A,'20.CR IFRS'!$A27,'14.Char.Ind'!Q:Q)</f>
        <v>144000</v>
      </c>
      <c r="E27" s="31">
        <f>SUMIF('14.Char.Ind'!$A:$A,'20.CR IFRS'!$A27,'14.Char.Ind'!R:R)</f>
        <v>144000</v>
      </c>
      <c r="H27"/>
      <c r="I27"/>
    </row>
    <row r="28" spans="1:9" ht="15">
      <c r="A28" s="28" t="str">
        <f>'11.Charges'!A37</f>
        <v xml:space="preserve">Prestations et Honoraires </v>
      </c>
      <c r="B28" s="28" t="str">
        <f>'11.Charges'!B37</f>
        <v>Frais Infogérance</v>
      </c>
      <c r="C28" s="31">
        <f>SUMIF('14.Char.Ind'!$A:$A,'20.CR IFRS'!$A28,'14.Char.Ind'!P:P)</f>
        <v>380000</v>
      </c>
      <c r="D28" s="31">
        <f>SUMIF('14.Char.Ind'!$A:$A,'20.CR IFRS'!$A28,'14.Char.Ind'!Q:Q)</f>
        <v>380000</v>
      </c>
      <c r="E28" s="31">
        <f>SUMIF('14.Char.Ind'!$A:$A,'20.CR IFRS'!$A28,'14.Char.Ind'!R:R)</f>
        <v>380000</v>
      </c>
      <c r="H28"/>
      <c r="I28"/>
    </row>
    <row r="29" spans="1:9" ht="15">
      <c r="A29" s="28" t="str">
        <f>'11.Charges'!A38</f>
        <v xml:space="preserve">Autres provisions </v>
      </c>
      <c r="B29" s="28">
        <f>'11.Charges'!B38</f>
        <v>0</v>
      </c>
      <c r="C29" s="31">
        <f>SUMIF('14.Char.Ind'!$A:$A,'20.CR IFRS'!$A29,'14.Char.Ind'!P:P)</f>
        <v>0</v>
      </c>
      <c r="D29" s="31">
        <f>SUMIF('14.Char.Ind'!$A:$A,'20.CR IFRS'!$A29,'14.Char.Ind'!Q:Q)</f>
        <v>0</v>
      </c>
      <c r="E29" s="31">
        <f>SUMIF('14.Char.Ind'!$A:$A,'20.CR IFRS'!$A29,'14.Char.Ind'!R:R)</f>
        <v>0</v>
      </c>
      <c r="H29"/>
      <c r="I29"/>
    </row>
    <row r="30" spans="1:9" ht="15">
      <c r="A30" s="28" t="str">
        <f>'11.Charges'!A27</f>
        <v>Taxe et redevance</v>
      </c>
      <c r="B30" s="28" t="str">
        <f>'11.Charges'!B27</f>
        <v>Timbre</v>
      </c>
      <c r="C30" s="31" t="e">
        <f>SUMIF('12.Char.Dir'!$A:$A,'20.CR IFRS'!$A30,'12.Char.Dir'!P:P)</f>
        <v>#VALUE!</v>
      </c>
      <c r="D30" s="31" t="e">
        <f>SUMIF('12.Char.Dir'!$A:$A,'20.CR IFRS'!$A30,'12.Char.Dir'!Q:Q)</f>
        <v>#VALUE!</v>
      </c>
      <c r="E30" s="31" t="e">
        <f>SUMIF('12.Char.Dir'!$A:$A,'20.CR IFRS'!$A30,'12.Char.Dir'!R:R)</f>
        <v>#VALUE!</v>
      </c>
      <c r="H30"/>
      <c r="I30"/>
    </row>
    <row r="31" spans="1:9" ht="15">
      <c r="A31" s="28" t="str">
        <f>'11.Charges'!A26</f>
        <v xml:space="preserve">Salaires et Avantages </v>
      </c>
      <c r="B31" s="28" t="str">
        <f>'11.Charges'!B26</f>
        <v>Salaire personnel</v>
      </c>
      <c r="C31" s="31" t="e">
        <f>SUMIF('12.Char.Dir'!$A:$A,'20.CR IFRS'!$A31,'12.Char.Dir'!P:P)</f>
        <v>#VALUE!</v>
      </c>
      <c r="D31" s="31" t="e">
        <f>SUMIF('12.Char.Dir'!$A:$A,'20.CR IFRS'!$A31,'12.Char.Dir'!Q:Q)</f>
        <v>#VALUE!</v>
      </c>
      <c r="E31" s="31" t="e">
        <f>SUMIF('12.Char.Dir'!$A:$A,'20.CR IFRS'!$A31,'12.Char.Dir'!R:R)</f>
        <v>#VALUE!</v>
      </c>
      <c r="H31"/>
      <c r="I31"/>
    </row>
    <row r="32" spans="1:9" ht="15">
      <c r="A32" s="27" t="s">
        <v>66</v>
      </c>
      <c r="B32" s="27" t="s">
        <v>66</v>
      </c>
      <c r="C32" s="33" t="e">
        <f>SUM(C20:C31)</f>
        <v>#VALUE!</v>
      </c>
      <c r="D32" s="33" t="e">
        <f>SUM(D20:D31)</f>
        <v>#VALUE!</v>
      </c>
      <c r="E32" s="33" t="e">
        <f>SUM(E20:E31)</f>
        <v>#VALUE!</v>
      </c>
      <c r="H32"/>
      <c r="I32"/>
    </row>
    <row r="33" spans="1:9" ht="15">
      <c r="A33" s="27" t="s">
        <v>64</v>
      </c>
      <c r="B33" s="27" t="s">
        <v>64</v>
      </c>
      <c r="C33" s="33" t="e">
        <f>C18-C32</f>
        <v>#VALUE!</v>
      </c>
      <c r="D33" s="33" t="e">
        <f t="shared" ref="D33:E33" si="1">D18-D32</f>
        <v>#VALUE!</v>
      </c>
      <c r="E33" s="33" t="e">
        <f t="shared" si="1"/>
        <v>#VALUE!</v>
      </c>
      <c r="H33"/>
      <c r="I33"/>
    </row>
    <row r="34" spans="1:9" ht="15">
      <c r="A34" s="130" t="s">
        <v>74</v>
      </c>
      <c r="B34" s="130" t="s">
        <v>74</v>
      </c>
      <c r="C34" s="131" t="e">
        <f>C33/C$8</f>
        <v>#VALUE!</v>
      </c>
      <c r="D34" s="131" t="e">
        <f t="shared" ref="D34:E34" si="2">D33/D$8</f>
        <v>#VALUE!</v>
      </c>
      <c r="E34" s="131" t="e">
        <f t="shared" si="2"/>
        <v>#VALUE!</v>
      </c>
      <c r="H34"/>
      <c r="I34"/>
    </row>
    <row r="35" spans="1:9" customFormat="1" ht="19" customHeight="1">
      <c r="A35" s="28" t="s">
        <v>199</v>
      </c>
      <c r="B35" s="28" t="s">
        <v>199</v>
      </c>
      <c r="C35" s="31" t="e">
        <f>'12.Char.Dir'!P29+'14.Char.Ind'!P14</f>
        <v>#VALUE!</v>
      </c>
      <c r="D35" s="31" t="e">
        <f>'12.Char.Dir'!Q29+'14.Char.Ind'!Q14</f>
        <v>#VALUE!</v>
      </c>
      <c r="E35" s="31" t="e">
        <f>'12.Char.Dir'!R29+'14.Char.Ind'!R14</f>
        <v>#VALUE!</v>
      </c>
    </row>
    <row r="36" spans="1:9" ht="15">
      <c r="A36" s="27" t="s">
        <v>71</v>
      </c>
      <c r="B36" s="27" t="s">
        <v>71</v>
      </c>
      <c r="C36" s="33" t="e">
        <f>C33-C35</f>
        <v>#VALUE!</v>
      </c>
      <c r="D36" s="33" t="e">
        <f t="shared" ref="D36:E36" si="3">D33-D35</f>
        <v>#VALUE!</v>
      </c>
      <c r="E36" s="33" t="e">
        <f t="shared" si="3"/>
        <v>#VALUE!</v>
      </c>
      <c r="H36"/>
      <c r="I36"/>
    </row>
    <row r="37" spans="1:9" ht="15">
      <c r="A37" s="28" t="s">
        <v>198</v>
      </c>
      <c r="B37" s="28" t="s">
        <v>198</v>
      </c>
      <c r="C37" s="31">
        <f>SUMIF('2.Cal.Amo.CT'!$G:$G,'20.CR IFRS'!C$3,'2.Cal.Amo.CT'!$C:$C)+SUMIF('3.Cal.Amo.LT'!$A:$A,C$3,'3.Cal.Amo.LT'!$C:$C)+SUMIF('4.Cal.Amo.AI'!$A:$A,C$3,'4.Cal.Amo.AI'!$C:$C)</f>
        <v>293316.92134666548</v>
      </c>
      <c r="D37" s="31">
        <f>SUMIF('2.Cal.Amo.CT'!$G:$G,'20.CR IFRS'!D$3,'2.Cal.Amo.CT'!$C:$C)+SUMIF('3.Cal.Amo.LT'!$A:$A,D$3,'3.Cal.Amo.LT'!$C:$C)+SUMIF('4.Cal.Amo.AI'!$A:$A,D$3,'4.Cal.Amo.AI'!$C:$C)</f>
        <v>4784.6979957902449</v>
      </c>
      <c r="E37" s="31">
        <f>SUMIF('2.Cal.Amo.CT'!$G:$G,'20.CR IFRS'!E$3,'2.Cal.Amo.CT'!$C:$C)+SUMIF('3.Cal.Amo.LT'!$A:$A,E$3,'3.Cal.Amo.LT'!$C:$C)+SUMIF('4.Cal.Amo.AI'!$A:$A,E$3,'4.Cal.Amo.AI'!$C:$C)</f>
        <v>2495.3688112016121</v>
      </c>
      <c r="H37"/>
      <c r="I37"/>
    </row>
    <row r="38" spans="1:9" ht="15">
      <c r="A38" s="27" t="s">
        <v>200</v>
      </c>
      <c r="B38" s="27" t="s">
        <v>200</v>
      </c>
      <c r="C38" s="33" t="e">
        <f>C32+C17+C35+C37</f>
        <v>#VALUE!</v>
      </c>
      <c r="D38" s="33" t="e">
        <f t="shared" ref="D38:E38" si="4">D32+D17+D35+D37</f>
        <v>#VALUE!</v>
      </c>
      <c r="E38" s="33" t="e">
        <f t="shared" si="4"/>
        <v>#VALUE!</v>
      </c>
      <c r="H38"/>
      <c r="I38"/>
    </row>
    <row r="39" spans="1:9" ht="15">
      <c r="A39" s="27" t="s">
        <v>201</v>
      </c>
      <c r="B39" s="27" t="s">
        <v>201</v>
      </c>
      <c r="C39" s="33" t="e">
        <f>C8-C38</f>
        <v>#VALUE!</v>
      </c>
      <c r="D39" s="33" t="e">
        <f>D8-D38</f>
        <v>#VALUE!</v>
      </c>
      <c r="E39" s="33" t="e">
        <f>E8-E38</f>
        <v>#VALUE!</v>
      </c>
      <c r="H39"/>
      <c r="I39"/>
    </row>
    <row r="40" spans="1:9" ht="15">
      <c r="A40" s="28" t="s">
        <v>81</v>
      </c>
      <c r="B40" s="28" t="s">
        <v>81</v>
      </c>
      <c r="C40" s="31" t="e">
        <f>'12.Char.Dir'!P28</f>
        <v>#VALUE!</v>
      </c>
      <c r="D40" s="31" t="e">
        <f>'12.Char.Dir'!Q28</f>
        <v>#VALUE!</v>
      </c>
      <c r="E40" s="31" t="e">
        <f>'12.Char.Dir'!R28</f>
        <v>#VALUE!</v>
      </c>
      <c r="H40"/>
      <c r="I40"/>
    </row>
    <row r="41" spans="1:9" ht="15">
      <c r="A41" s="27" t="s">
        <v>142</v>
      </c>
      <c r="B41" s="27" t="s">
        <v>142</v>
      </c>
      <c r="C41" s="33" t="e">
        <f>C39-C40</f>
        <v>#VALUE!</v>
      </c>
      <c r="D41" s="33" t="e">
        <f t="shared" ref="D41:E41" si="5">D39-D40</f>
        <v>#VALUE!</v>
      </c>
      <c r="E41" s="33" t="e">
        <f t="shared" si="5"/>
        <v>#VALUE!</v>
      </c>
      <c r="H41"/>
      <c r="I41"/>
    </row>
    <row r="42" spans="1:9" ht="15">
      <c r="A42" s="130" t="s">
        <v>72</v>
      </c>
      <c r="B42" s="130" t="s">
        <v>72</v>
      </c>
      <c r="C42" s="131" t="e">
        <f>C41/C$8</f>
        <v>#VALUE!</v>
      </c>
      <c r="D42" s="131" t="e">
        <f t="shared" ref="D42" si="6">D41/D$8</f>
        <v>#VALUE!</v>
      </c>
      <c r="E42" s="131" t="e">
        <f t="shared" ref="E42" si="7">E41/E$8</f>
        <v>#VALUE!</v>
      </c>
      <c r="H42"/>
      <c r="I42"/>
    </row>
    <row r="43" spans="1:9">
      <c r="A43" s="28" t="s">
        <v>199</v>
      </c>
      <c r="B43" s="28" t="s">
        <v>199</v>
      </c>
      <c r="C43" s="31" t="e">
        <f>C35</f>
        <v>#VALUE!</v>
      </c>
      <c r="D43" s="31" t="e">
        <f t="shared" ref="D43:E43" si="8">D35</f>
        <v>#VALUE!</v>
      </c>
      <c r="E43" s="31" t="e">
        <f t="shared" si="8"/>
        <v>#VALUE!</v>
      </c>
    </row>
    <row r="44" spans="1:9">
      <c r="A44" s="27" t="s">
        <v>126</v>
      </c>
      <c r="B44" s="27" t="s">
        <v>126</v>
      </c>
      <c r="C44" s="33" t="e">
        <f>C41+C43</f>
        <v>#VALUE!</v>
      </c>
      <c r="D44" s="33" t="e">
        <f t="shared" ref="D44:E44" si="9">D41+D43</f>
        <v>#VALUE!</v>
      </c>
      <c r="E44" s="33" t="e">
        <f t="shared" si="9"/>
        <v>#VALUE!</v>
      </c>
    </row>
    <row r="45" spans="1:9" ht="15">
      <c r="A45"/>
      <c r="B45"/>
      <c r="C45"/>
      <c r="D45"/>
      <c r="E45"/>
    </row>
    <row r="46" spans="1:9" ht="15">
      <c r="A46"/>
      <c r="B46"/>
      <c r="C46" s="12" t="s">
        <v>23</v>
      </c>
      <c r="D46" s="12" t="s">
        <v>24</v>
      </c>
      <c r="E46" s="12" t="s">
        <v>25</v>
      </c>
    </row>
    <row r="47" spans="1:9" ht="15">
      <c r="A47"/>
      <c r="B47"/>
      <c r="C47"/>
      <c r="D47"/>
      <c r="E47"/>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8407-05E5-48CD-8688-A03F92EE2A91}">
  <sheetPr>
    <tabColor rgb="FFFFC000"/>
  </sheetPr>
  <dimension ref="A1:G42"/>
  <sheetViews>
    <sheetView topLeftCell="A2" workbookViewId="0">
      <selection activeCell="E2" sqref="E1:F1048576"/>
    </sheetView>
  </sheetViews>
  <sheetFormatPr baseColWidth="10" defaultRowHeight="15"/>
  <cols>
    <col min="1" max="1" width="33.6640625" bestFit="1" customWidth="1"/>
    <col min="6" max="6" width="18.83203125" bestFit="1" customWidth="1"/>
  </cols>
  <sheetData>
    <row r="1" spans="1:7">
      <c r="A1" s="124" t="s">
        <v>352</v>
      </c>
    </row>
    <row r="3" spans="1:7">
      <c r="A3" s="27" t="s">
        <v>43</v>
      </c>
      <c r="B3" s="27" t="s">
        <v>44</v>
      </c>
      <c r="C3" s="27" t="s">
        <v>45</v>
      </c>
      <c r="D3" s="27" t="s">
        <v>3</v>
      </c>
      <c r="E3" s="116" t="s">
        <v>18</v>
      </c>
      <c r="F3" s="116" t="s">
        <v>157</v>
      </c>
      <c r="G3" s="27" t="s">
        <v>96</v>
      </c>
    </row>
    <row r="4" spans="1:7">
      <c r="A4" s="126" t="str">
        <f>'11.Charges'!A4</f>
        <v>Achat de marchandises</v>
      </c>
      <c r="B4" s="31" t="str">
        <f>'11.Charges'!B4</f>
        <v>Achat de Tenue de luxe Homme</v>
      </c>
      <c r="C4" s="31">
        <f>'11.Charges'!D4</f>
        <v>1</v>
      </c>
      <c r="D4" s="31">
        <f>'11.Charges'!E4</f>
        <v>6000</v>
      </c>
      <c r="E4" s="118">
        <v>3</v>
      </c>
      <c r="F4" s="118" t="s">
        <v>165</v>
      </c>
      <c r="G4" s="31">
        <f>C4*D4*E4</f>
        <v>18000</v>
      </c>
    </row>
    <row r="5" spans="1:7">
      <c r="A5" s="126" t="str">
        <f>'11.Charges'!A5</f>
        <v>Achat de marchandises</v>
      </c>
      <c r="B5" s="31" t="str">
        <f>'11.Charges'!B5</f>
        <v>Achat de Tenue de luxe Femme</v>
      </c>
      <c r="C5" s="31">
        <f>'11.Charges'!D5</f>
        <v>1</v>
      </c>
      <c r="D5" s="31">
        <f>'11.Charges'!E5</f>
        <v>12000</v>
      </c>
      <c r="E5" s="118">
        <v>3</v>
      </c>
      <c r="F5" s="118" t="s">
        <v>165</v>
      </c>
      <c r="G5" s="31">
        <f t="shared" ref="G5:G8" si="0">C5*D5*E5</f>
        <v>36000</v>
      </c>
    </row>
    <row r="6" spans="1:7">
      <c r="A6" s="126" t="str">
        <f>'11.Charges'!A6</f>
        <v>Achat de marchandises</v>
      </c>
      <c r="B6" s="31" t="str">
        <f>'11.Charges'!B6</f>
        <v>Achat de Prêt-à-porter homme</v>
      </c>
      <c r="C6" s="31">
        <f>'11.Charges'!D6</f>
        <v>1</v>
      </c>
      <c r="D6" s="31">
        <f>'11.Charges'!E6</f>
        <v>3000</v>
      </c>
      <c r="E6" s="118">
        <v>3</v>
      </c>
      <c r="F6" s="118" t="s">
        <v>165</v>
      </c>
      <c r="G6" s="31">
        <f t="shared" si="0"/>
        <v>9000</v>
      </c>
    </row>
    <row r="7" spans="1:7">
      <c r="A7" s="126" t="str">
        <f>'11.Charges'!A7</f>
        <v>Achat de marchandises</v>
      </c>
      <c r="B7" s="31" t="str">
        <f>'11.Charges'!B7</f>
        <v>Achat de Prêt-à-porter femme</v>
      </c>
      <c r="C7" s="31">
        <f>'11.Charges'!D7</f>
        <v>1</v>
      </c>
      <c r="D7" s="31">
        <f>'11.Charges'!E7</f>
        <v>1500</v>
      </c>
      <c r="E7" s="118">
        <v>3</v>
      </c>
      <c r="F7" s="118" t="s">
        <v>165</v>
      </c>
      <c r="G7" s="31">
        <f t="shared" si="0"/>
        <v>4500</v>
      </c>
    </row>
    <row r="8" spans="1:7">
      <c r="A8" s="126" t="str">
        <f>'11.Charges'!A8</f>
        <v>Achat de MP</v>
      </c>
      <c r="B8" s="31">
        <f>'11.Charges'!B8</f>
        <v>0</v>
      </c>
      <c r="C8" s="31">
        <f>'11.Charges'!D8</f>
        <v>1</v>
      </c>
      <c r="D8" s="31">
        <f>'11.Charges'!E8</f>
        <v>0</v>
      </c>
      <c r="E8" s="118">
        <v>3</v>
      </c>
      <c r="F8" s="118" t="s">
        <v>165</v>
      </c>
      <c r="G8" s="31">
        <f t="shared" si="0"/>
        <v>0</v>
      </c>
    </row>
    <row r="9" spans="1:7">
      <c r="A9" s="126" t="str">
        <f>'11.Charges'!A8</f>
        <v>Achat de MP</v>
      </c>
      <c r="B9" s="31">
        <f>'11.Charges'!B8</f>
        <v>0</v>
      </c>
      <c r="C9" s="31">
        <f>'11.Charges'!D8</f>
        <v>1</v>
      </c>
      <c r="D9" s="31">
        <f>'11.Charges'!E8</f>
        <v>0</v>
      </c>
      <c r="E9" s="118">
        <v>3</v>
      </c>
      <c r="F9" s="118" t="s">
        <v>165</v>
      </c>
      <c r="G9" s="31">
        <f t="shared" ref="G9:G41" si="1">C9*D9*E9</f>
        <v>0</v>
      </c>
    </row>
    <row r="10" spans="1:7">
      <c r="A10" s="126" t="str">
        <f>'11.Charges'!A9</f>
        <v>Main d'œuvre directe vente</v>
      </c>
      <c r="B10" s="31">
        <f>'11.Charges'!B9</f>
        <v>0</v>
      </c>
      <c r="C10" s="31">
        <f>'11.Charges'!D9</f>
        <v>1</v>
      </c>
      <c r="D10" s="31">
        <f>'11.Charges'!E9</f>
        <v>0</v>
      </c>
      <c r="E10" s="118">
        <v>3</v>
      </c>
      <c r="F10" s="118" t="s">
        <v>165</v>
      </c>
      <c r="G10" s="31">
        <f t="shared" si="1"/>
        <v>0</v>
      </c>
    </row>
    <row r="11" spans="1:7">
      <c r="A11" s="126" t="str">
        <f>'11.Charges'!A10</f>
        <v>Main d'œuvre directe transformation</v>
      </c>
      <c r="B11" s="31">
        <f>'11.Charges'!B10</f>
        <v>0</v>
      </c>
      <c r="C11" s="31">
        <f>'11.Charges'!D10</f>
        <v>1</v>
      </c>
      <c r="D11" s="31">
        <f>'11.Charges'!E10</f>
        <v>0</v>
      </c>
      <c r="E11" s="118">
        <v>3</v>
      </c>
      <c r="F11" s="118" t="s">
        <v>165</v>
      </c>
      <c r="G11" s="31">
        <f t="shared" si="1"/>
        <v>0</v>
      </c>
    </row>
    <row r="12" spans="1:7">
      <c r="A12" s="126" t="str">
        <f>'11.Charges'!A11</f>
        <v>Main d'œuvre directe vente de services</v>
      </c>
      <c r="B12" s="31">
        <f>'11.Charges'!B11</f>
        <v>0</v>
      </c>
      <c r="C12" s="31">
        <f>'11.Charges'!D11</f>
        <v>1</v>
      </c>
      <c r="D12" s="31">
        <f>'11.Charges'!E11</f>
        <v>0</v>
      </c>
      <c r="E12" s="118">
        <v>3</v>
      </c>
      <c r="F12" s="118" t="s">
        <v>165</v>
      </c>
      <c r="G12" s="31">
        <f t="shared" si="1"/>
        <v>0</v>
      </c>
    </row>
    <row r="13" spans="1:7">
      <c r="A13" s="126" t="str">
        <f>'11.Charges'!A12</f>
        <v xml:space="preserve">Frais indirects de transformation </v>
      </c>
      <c r="B13" s="31">
        <f>'11.Charges'!B12</f>
        <v>0</v>
      </c>
      <c r="C13" s="31">
        <f>'11.Charges'!D12</f>
        <v>1</v>
      </c>
      <c r="D13" s="31">
        <f>'11.Charges'!E12</f>
        <v>0</v>
      </c>
      <c r="E13" s="118">
        <v>3</v>
      </c>
      <c r="F13" s="118" t="s">
        <v>165</v>
      </c>
      <c r="G13" s="31">
        <f t="shared" si="1"/>
        <v>0</v>
      </c>
    </row>
    <row r="14" spans="1:7">
      <c r="A14" s="126" t="str">
        <f>'11.Charges'!A13</f>
        <v>Frais indirects de vente</v>
      </c>
      <c r="B14" s="31" t="str">
        <f>'11.Charges'!B13</f>
        <v>Logistique Tenue de luxe Homme</v>
      </c>
      <c r="C14" s="31">
        <f>'11.Charges'!D13</f>
        <v>1</v>
      </c>
      <c r="D14" s="31">
        <f>'11.Charges'!E13</f>
        <v>200</v>
      </c>
      <c r="E14" s="118">
        <v>3</v>
      </c>
      <c r="F14" s="118" t="s">
        <v>165</v>
      </c>
      <c r="G14" s="31">
        <f t="shared" si="1"/>
        <v>600</v>
      </c>
    </row>
    <row r="15" spans="1:7">
      <c r="A15" s="126" t="str">
        <f>'11.Charges'!A14</f>
        <v>Frais indirects de vente</v>
      </c>
      <c r="B15" s="31" t="str">
        <f>'11.Charges'!B14</f>
        <v>Logistique Tenue de luxe Femme</v>
      </c>
      <c r="C15" s="31">
        <f>'11.Charges'!D14</f>
        <v>1</v>
      </c>
      <c r="D15" s="31">
        <f>'11.Charges'!E14</f>
        <v>400</v>
      </c>
      <c r="E15" s="118">
        <v>3</v>
      </c>
      <c r="F15" s="118" t="s">
        <v>165</v>
      </c>
      <c r="G15" s="31">
        <f t="shared" ref="G15:G25" si="2">C15*D15*E15</f>
        <v>1200</v>
      </c>
    </row>
    <row r="16" spans="1:7">
      <c r="A16" s="126" t="str">
        <f>'11.Charges'!A15</f>
        <v>Frais indirects de vente</v>
      </c>
      <c r="B16" s="31" t="str">
        <f>'11.Charges'!B15</f>
        <v>Logistique Prêt-à-porter homme</v>
      </c>
      <c r="C16" s="31">
        <f>'11.Charges'!D15</f>
        <v>1</v>
      </c>
      <c r="D16" s="31">
        <f>'11.Charges'!E15</f>
        <v>100</v>
      </c>
      <c r="E16" s="118">
        <v>3</v>
      </c>
      <c r="F16" s="118" t="s">
        <v>165</v>
      </c>
      <c r="G16" s="31">
        <f t="shared" si="2"/>
        <v>300</v>
      </c>
    </row>
    <row r="17" spans="1:7">
      <c r="A17" s="126" t="str">
        <f>'11.Charges'!A16</f>
        <v>Frais indirects de vente</v>
      </c>
      <c r="B17" s="31" t="str">
        <f>'11.Charges'!B16</f>
        <v>Logistique Prêt-à-porter femme</v>
      </c>
      <c r="C17" s="31">
        <f>'11.Charges'!D16</f>
        <v>1</v>
      </c>
      <c r="D17" s="31">
        <f>'11.Charges'!E16</f>
        <v>50</v>
      </c>
      <c r="E17" s="118">
        <v>3</v>
      </c>
      <c r="F17" s="118" t="s">
        <v>165</v>
      </c>
      <c r="G17" s="31">
        <f t="shared" si="2"/>
        <v>150</v>
      </c>
    </row>
    <row r="18" spans="1:7">
      <c r="A18" s="126" t="str">
        <f>'11.Charges'!A17</f>
        <v>Frais indirects de vente</v>
      </c>
      <c r="B18" s="31" t="str">
        <f>'11.Charges'!B17</f>
        <v>Stockage Tenue de luxe Homme</v>
      </c>
      <c r="C18" s="31">
        <f>'11.Charges'!D17</f>
        <v>1</v>
      </c>
      <c r="D18" s="31">
        <f>'11.Charges'!E17</f>
        <v>400</v>
      </c>
      <c r="E18" s="118">
        <v>3</v>
      </c>
      <c r="F18" s="118" t="s">
        <v>165</v>
      </c>
      <c r="G18" s="31">
        <f t="shared" si="2"/>
        <v>1200</v>
      </c>
    </row>
    <row r="19" spans="1:7">
      <c r="A19" s="126" t="str">
        <f>'11.Charges'!A18</f>
        <v>Frais indirects de vente</v>
      </c>
      <c r="B19" s="31" t="str">
        <f>'11.Charges'!B18</f>
        <v>Stockage Tenue de luxe Femme</v>
      </c>
      <c r="C19" s="31">
        <f>'11.Charges'!D18</f>
        <v>1</v>
      </c>
      <c r="D19" s="31">
        <f>'11.Charges'!E18</f>
        <v>800</v>
      </c>
      <c r="E19" s="118">
        <v>3</v>
      </c>
      <c r="F19" s="118" t="s">
        <v>165</v>
      </c>
      <c r="G19" s="31">
        <f t="shared" si="2"/>
        <v>2400</v>
      </c>
    </row>
    <row r="20" spans="1:7">
      <c r="A20" s="126" t="str">
        <f>'11.Charges'!A19</f>
        <v>Frais indirects de vente</v>
      </c>
      <c r="B20" s="31" t="str">
        <f>'11.Charges'!B19</f>
        <v>Stockage Prêt-à-porter homme</v>
      </c>
      <c r="C20" s="31">
        <f>'11.Charges'!D19</f>
        <v>1</v>
      </c>
      <c r="D20" s="31">
        <f>'11.Charges'!E19</f>
        <v>200</v>
      </c>
      <c r="E20" s="118">
        <v>3</v>
      </c>
      <c r="F20" s="118" t="s">
        <v>165</v>
      </c>
      <c r="G20" s="31">
        <f t="shared" si="2"/>
        <v>600</v>
      </c>
    </row>
    <row r="21" spans="1:7">
      <c r="A21" s="126" t="str">
        <f>'11.Charges'!A20</f>
        <v>Frais indirects de vente</v>
      </c>
      <c r="B21" s="31" t="str">
        <f>'11.Charges'!B20</f>
        <v>Stockage Prêt-à-porter femme</v>
      </c>
      <c r="C21" s="31">
        <f>'11.Charges'!D20</f>
        <v>1</v>
      </c>
      <c r="D21" s="31">
        <f>'11.Charges'!E20</f>
        <v>100</v>
      </c>
      <c r="E21" s="118">
        <v>3</v>
      </c>
      <c r="F21" s="118" t="s">
        <v>165</v>
      </c>
      <c r="G21" s="31">
        <f t="shared" si="2"/>
        <v>300</v>
      </c>
    </row>
    <row r="22" spans="1:7">
      <c r="A22" s="126" t="str">
        <f>'11.Charges'!A21</f>
        <v>Frais indirects de vente</v>
      </c>
      <c r="B22" s="31" t="str">
        <f>'11.Charges'!B21</f>
        <v>Commission MP Tenue de luxe Homme</v>
      </c>
      <c r="C22" s="31">
        <f>'11.Charges'!D21</f>
        <v>1</v>
      </c>
      <c r="D22" s="31">
        <f>'11.Charges'!E21</f>
        <v>200</v>
      </c>
      <c r="E22" s="118">
        <v>3</v>
      </c>
      <c r="F22" s="118" t="s">
        <v>165</v>
      </c>
      <c r="G22" s="31">
        <f t="shared" si="2"/>
        <v>600</v>
      </c>
    </row>
    <row r="23" spans="1:7">
      <c r="A23" s="126" t="str">
        <f>'11.Charges'!A22</f>
        <v>Frais indirects de vente</v>
      </c>
      <c r="B23" s="31" t="str">
        <f>'11.Charges'!B22</f>
        <v>Commission MP Tenue de luxe Femme</v>
      </c>
      <c r="C23" s="31">
        <f>'11.Charges'!D22</f>
        <v>1</v>
      </c>
      <c r="D23" s="31">
        <f>'11.Charges'!E22</f>
        <v>400</v>
      </c>
      <c r="E23" s="118">
        <v>3</v>
      </c>
      <c r="F23" s="118" t="s">
        <v>165</v>
      </c>
      <c r="G23" s="31">
        <f t="shared" si="2"/>
        <v>1200</v>
      </c>
    </row>
    <row r="24" spans="1:7">
      <c r="A24" s="126" t="str">
        <f>'11.Charges'!A23</f>
        <v>Frais indirects de vente</v>
      </c>
      <c r="B24" s="31" t="str">
        <f>'11.Charges'!B23</f>
        <v>Commission MP Prêt-à-porter homme</v>
      </c>
      <c r="C24" s="31">
        <f>'11.Charges'!D23</f>
        <v>1</v>
      </c>
      <c r="D24" s="31">
        <f>'11.Charges'!E23</f>
        <v>100</v>
      </c>
      <c r="E24" s="118">
        <v>3</v>
      </c>
      <c r="F24" s="118" t="s">
        <v>165</v>
      </c>
      <c r="G24" s="31">
        <f t="shared" si="2"/>
        <v>300</v>
      </c>
    </row>
    <row r="25" spans="1:7">
      <c r="A25" s="126" t="str">
        <f>'11.Charges'!A24</f>
        <v>Frais indirects de vente</v>
      </c>
      <c r="B25" s="31" t="str">
        <f>'11.Charges'!B24</f>
        <v>Commission MP Prêt-à-porter femme</v>
      </c>
      <c r="C25" s="31">
        <f>'11.Charges'!D24</f>
        <v>1</v>
      </c>
      <c r="D25" s="31">
        <f>'11.Charges'!E24</f>
        <v>50</v>
      </c>
      <c r="E25" s="118">
        <v>3</v>
      </c>
      <c r="F25" s="118" t="s">
        <v>165</v>
      </c>
      <c r="G25" s="31">
        <f t="shared" si="2"/>
        <v>150</v>
      </c>
    </row>
    <row r="26" spans="1:7">
      <c r="A26" s="126" t="str">
        <f>'11.Charges'!A25</f>
        <v>Frais indirects de vente de services</v>
      </c>
      <c r="B26" s="31">
        <f>'11.Charges'!B25</f>
        <v>0</v>
      </c>
      <c r="C26" s="31">
        <f>'11.Charges'!D25</f>
        <v>1</v>
      </c>
      <c r="D26" s="31">
        <f>'11.Charges'!E25</f>
        <v>0</v>
      </c>
      <c r="E26" s="118">
        <v>3</v>
      </c>
      <c r="F26" s="118" t="s">
        <v>166</v>
      </c>
      <c r="G26" s="31">
        <f t="shared" si="1"/>
        <v>0</v>
      </c>
    </row>
    <row r="27" spans="1:7">
      <c r="A27" s="126" t="str">
        <f>'11.Charges'!A26</f>
        <v xml:space="preserve">Salaires et Avantages </v>
      </c>
      <c r="B27" s="31" t="str">
        <f>'11.Charges'!B26</f>
        <v>Salaire personnel</v>
      </c>
      <c r="C27" s="31">
        <f>'11.Charges'!D26</f>
        <v>1</v>
      </c>
      <c r="D27" s="31">
        <f>'11.Charges'!E26</f>
        <v>0.22</v>
      </c>
      <c r="E27" s="118">
        <v>3</v>
      </c>
      <c r="F27" s="118" t="s">
        <v>166</v>
      </c>
      <c r="G27" s="31">
        <f t="shared" si="1"/>
        <v>0.66</v>
      </c>
    </row>
    <row r="28" spans="1:7">
      <c r="A28" s="126" t="str">
        <f>'11.Charges'!A27</f>
        <v>Taxe et redevance</v>
      </c>
      <c r="B28" s="31" t="str">
        <f>'11.Charges'!B27</f>
        <v>Timbre</v>
      </c>
      <c r="C28" s="31">
        <f>'11.Charges'!D27</f>
        <v>1</v>
      </c>
      <c r="D28" s="31">
        <f>'11.Charges'!E27</f>
        <v>4.7999999999999996E-3</v>
      </c>
      <c r="E28" s="118">
        <v>3</v>
      </c>
      <c r="F28" s="118" t="s">
        <v>166</v>
      </c>
      <c r="G28" s="31">
        <f t="shared" si="1"/>
        <v>1.44E-2</v>
      </c>
    </row>
    <row r="29" spans="1:7">
      <c r="A29" s="126" t="str">
        <f>'11.Charges'!A28</f>
        <v>Impôt sur les entreprises</v>
      </c>
      <c r="B29" s="31" t="str">
        <f>'11.Charges'!B28</f>
        <v>BIC</v>
      </c>
      <c r="C29" s="31">
        <f>'11.Charges'!D28</f>
        <v>1</v>
      </c>
      <c r="D29" s="31">
        <f>'11.Charges'!E28</f>
        <v>3.0700000000000002E-2</v>
      </c>
      <c r="E29" s="118">
        <v>3</v>
      </c>
      <c r="F29" s="118" t="s">
        <v>166</v>
      </c>
      <c r="G29" s="31">
        <f t="shared" si="1"/>
        <v>9.2100000000000001E-2</v>
      </c>
    </row>
    <row r="30" spans="1:7">
      <c r="A30" s="126" t="str">
        <f>'11.Charges'!A29</f>
        <v>Action commerciale</v>
      </c>
      <c r="B30" s="31" t="str">
        <f>'11.Charges'!B29</f>
        <v>Sponsoring page réseaux sociaux</v>
      </c>
      <c r="C30" s="31">
        <f>'11.Charges'!D29</f>
        <v>1</v>
      </c>
      <c r="D30" s="31">
        <f>'11.Charges'!E29</f>
        <v>1900000</v>
      </c>
      <c r="E30" s="118">
        <v>1</v>
      </c>
      <c r="F30" s="118" t="s">
        <v>166</v>
      </c>
      <c r="G30" s="31">
        <f t="shared" si="1"/>
        <v>1900000</v>
      </c>
    </row>
    <row r="31" spans="1:7">
      <c r="A31" s="126" t="str">
        <f>'11.Charges'!A30</f>
        <v xml:space="preserve">Frais Généraux </v>
      </c>
      <c r="B31" s="31" t="str">
        <f>'11.Charges'!B30</f>
        <v>Frais administration</v>
      </c>
      <c r="C31" s="31">
        <f>'11.Charges'!D30</f>
        <v>1</v>
      </c>
      <c r="D31" s="31">
        <f>'11.Charges'!E30</f>
        <v>25000</v>
      </c>
      <c r="E31" s="118">
        <v>3</v>
      </c>
      <c r="F31" s="118" t="s">
        <v>166</v>
      </c>
      <c r="G31" s="31">
        <f t="shared" si="1"/>
        <v>75000</v>
      </c>
    </row>
    <row r="32" spans="1:7">
      <c r="A32" s="126" t="str">
        <f>'11.Charges'!A31</f>
        <v>Energie/Electricité/ Eau</v>
      </c>
      <c r="B32" s="31" t="str">
        <f>'11.Charges'!B31</f>
        <v>Eau</v>
      </c>
      <c r="C32" s="31">
        <f>'11.Charges'!D31</f>
        <v>1</v>
      </c>
      <c r="D32" s="31">
        <f>'11.Charges'!E31</f>
        <v>82500</v>
      </c>
      <c r="E32" s="118">
        <v>3</v>
      </c>
      <c r="F32" s="118" t="s">
        <v>166</v>
      </c>
      <c r="G32" s="31">
        <f t="shared" si="1"/>
        <v>247500</v>
      </c>
    </row>
    <row r="33" spans="1:7">
      <c r="A33" s="126" t="str">
        <f>'11.Charges'!A32</f>
        <v xml:space="preserve">Frais de transport </v>
      </c>
      <c r="B33" s="31" t="str">
        <f>'11.Charges'!B32</f>
        <v>Carburant</v>
      </c>
      <c r="C33" s="31">
        <f>'11.Charges'!D32</f>
        <v>1</v>
      </c>
      <c r="D33" s="31">
        <f>'11.Charges'!E32</f>
        <v>50000</v>
      </c>
      <c r="E33" s="118">
        <v>3</v>
      </c>
      <c r="F33" s="118" t="s">
        <v>166</v>
      </c>
      <c r="G33" s="31">
        <f t="shared" si="1"/>
        <v>150000</v>
      </c>
    </row>
    <row r="34" spans="1:7">
      <c r="A34" s="126" t="str">
        <f>'11.Charges'!A33</f>
        <v>Frais de communication</v>
      </c>
      <c r="B34" s="31" t="str">
        <f>'11.Charges'!B33</f>
        <v>Telephone / Internet</v>
      </c>
      <c r="C34" s="31">
        <f>'11.Charges'!D33</f>
        <v>1</v>
      </c>
      <c r="D34" s="31">
        <f>'11.Charges'!E33</f>
        <v>50000</v>
      </c>
      <c r="E34" s="118">
        <v>3</v>
      </c>
      <c r="F34" s="118" t="s">
        <v>166</v>
      </c>
      <c r="G34" s="31">
        <f t="shared" si="1"/>
        <v>150000</v>
      </c>
    </row>
    <row r="35" spans="1:7">
      <c r="A35" s="126" t="str">
        <f>'11.Charges'!A34</f>
        <v xml:space="preserve">Publicité et Marketing </v>
      </c>
      <c r="B35" s="31">
        <f>'11.Charges'!B34</f>
        <v>0</v>
      </c>
      <c r="C35" s="31">
        <f>'11.Charges'!D34</f>
        <v>1</v>
      </c>
      <c r="D35" s="31">
        <f>'11.Charges'!E34</f>
        <v>0</v>
      </c>
      <c r="E35" s="118">
        <v>3</v>
      </c>
      <c r="F35" s="118" t="s">
        <v>166</v>
      </c>
      <c r="G35" s="31">
        <f t="shared" si="1"/>
        <v>0</v>
      </c>
    </row>
    <row r="36" spans="1:7">
      <c r="A36" s="126" t="str">
        <f>'11.Charges'!A35</f>
        <v>Location</v>
      </c>
      <c r="B36" s="31" t="str">
        <f>'11.Charges'!B35</f>
        <v>Loyer</v>
      </c>
      <c r="C36" s="31">
        <f>'11.Charges'!D35</f>
        <v>1</v>
      </c>
      <c r="D36" s="31">
        <f>'11.Charges'!E35</f>
        <v>250000</v>
      </c>
      <c r="E36" s="118">
        <v>0</v>
      </c>
      <c r="F36" s="118" t="s">
        <v>166</v>
      </c>
      <c r="G36" s="31">
        <f t="shared" si="1"/>
        <v>0</v>
      </c>
    </row>
    <row r="37" spans="1:7">
      <c r="A37" s="126" t="str">
        <f>'11.Charges'!A36</f>
        <v>Assurance</v>
      </c>
      <c r="B37" s="31" t="str">
        <f>'11.Charges'!B36</f>
        <v>Assurance voiture</v>
      </c>
      <c r="C37" s="31">
        <f>'11.Charges'!D36</f>
        <v>1</v>
      </c>
      <c r="D37" s="31">
        <f>'11.Charges'!E36</f>
        <v>12000</v>
      </c>
      <c r="E37" s="118">
        <v>3</v>
      </c>
      <c r="F37" s="118" t="s">
        <v>166</v>
      </c>
      <c r="G37" s="31">
        <f t="shared" si="1"/>
        <v>36000</v>
      </c>
    </row>
    <row r="38" spans="1:7">
      <c r="A38" s="126" t="str">
        <f>'11.Charges'!A37</f>
        <v xml:space="preserve">Prestations et Honoraires </v>
      </c>
      <c r="B38" s="31" t="str">
        <f>'11.Charges'!B37</f>
        <v>Frais Infogérance</v>
      </c>
      <c r="C38" s="31">
        <f>'11.Charges'!D37</f>
        <v>1</v>
      </c>
      <c r="D38" s="31">
        <f>'11.Charges'!E37</f>
        <v>380000</v>
      </c>
      <c r="E38" s="118">
        <v>3</v>
      </c>
      <c r="F38" s="118" t="s">
        <v>166</v>
      </c>
      <c r="G38" s="31">
        <f t="shared" si="1"/>
        <v>1140000</v>
      </c>
    </row>
    <row r="39" spans="1:7">
      <c r="A39" s="126" t="str">
        <f>'11.Charges'!A38</f>
        <v xml:space="preserve">Autres provisions </v>
      </c>
      <c r="B39" s="31">
        <f>'11.Charges'!B38</f>
        <v>0</v>
      </c>
      <c r="C39" s="31">
        <f>'11.Charges'!D38</f>
        <v>1</v>
      </c>
      <c r="D39" s="31">
        <f>'11.Charges'!E38</f>
        <v>0</v>
      </c>
      <c r="E39" s="118">
        <v>3</v>
      </c>
      <c r="F39" s="118" t="s">
        <v>166</v>
      </c>
      <c r="G39" s="31">
        <f t="shared" si="1"/>
        <v>0</v>
      </c>
    </row>
    <row r="40" spans="1:7">
      <c r="A40" s="126" t="str">
        <f>'11.Charges'!A39</f>
        <v>Amortissement Bureau</v>
      </c>
      <c r="B40" s="31">
        <f>'11.Charges'!B39</f>
        <v>0</v>
      </c>
      <c r="C40" s="31">
        <f>'11.Charges'!D39</f>
        <v>1</v>
      </c>
      <c r="D40" s="31">
        <f>'11.Charges'!E39</f>
        <v>0</v>
      </c>
      <c r="E40" s="118">
        <v>3</v>
      </c>
      <c r="F40" s="118" t="s">
        <v>166</v>
      </c>
      <c r="G40" s="31">
        <f t="shared" si="1"/>
        <v>0</v>
      </c>
    </row>
    <row r="41" spans="1:7">
      <c r="A41" s="126" t="str">
        <f>'11.Charges'!A40</f>
        <v>Amortissement Exploitation</v>
      </c>
      <c r="B41" s="31" t="str">
        <f>'11.Charges'!B40</f>
        <v>Amortissement équipement.</v>
      </c>
      <c r="C41" s="31">
        <f>'11.Charges'!D40</f>
        <v>1</v>
      </c>
      <c r="D41" s="31">
        <f>'11.Charges'!E40</f>
        <v>3.5099999999999999E-2</v>
      </c>
      <c r="E41" s="118">
        <v>3</v>
      </c>
      <c r="F41" s="118" t="s">
        <v>166</v>
      </c>
      <c r="G41" s="31">
        <f t="shared" si="1"/>
        <v>0.1053</v>
      </c>
    </row>
    <row r="42" spans="1:7" s="229" customFormat="1">
      <c r="A42" s="228" t="s">
        <v>293</v>
      </c>
      <c r="B42" s="33"/>
      <c r="C42" s="33"/>
      <c r="D42" s="33"/>
      <c r="E42" s="123"/>
      <c r="F42" s="123"/>
      <c r="G42" s="33">
        <f>SUM(G4:G41)</f>
        <v>3775000.8717999998</v>
      </c>
    </row>
  </sheetData>
  <phoneticPr fontId="4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23</vt:i4>
      </vt:variant>
      <vt:variant>
        <vt:lpstr>Plages nommées</vt:lpstr>
      </vt:variant>
      <vt:variant>
        <vt:i4>22</vt:i4>
      </vt:variant>
    </vt:vector>
  </HeadingPairs>
  <TitlesOfParts>
    <vt:vector size="45" baseType="lpstr">
      <vt:lpstr>BP_Pres</vt:lpstr>
      <vt:lpstr>LiensFeuilles</vt:lpstr>
      <vt:lpstr>1.Var.Fin</vt:lpstr>
      <vt:lpstr>2.Cal.Amo.CT</vt:lpstr>
      <vt:lpstr>3.Cal.Amo.LT</vt:lpstr>
      <vt:lpstr>4.Cal.Amo.AI</vt:lpstr>
      <vt:lpstr>5.Inv</vt:lpstr>
      <vt:lpstr>6.Var.Inv</vt:lpstr>
      <vt:lpstr>7.Bud.Inv.</vt:lpstr>
      <vt:lpstr>8.Prod</vt:lpstr>
      <vt:lpstr>9.Var.Vente1</vt:lpstr>
      <vt:lpstr>10.Vente</vt:lpstr>
      <vt:lpstr>11.Charges</vt:lpstr>
      <vt:lpstr>12.Char.Dir</vt:lpstr>
      <vt:lpstr>13.Var.Char.Ind</vt:lpstr>
      <vt:lpstr>14.Char.Ind</vt:lpstr>
      <vt:lpstr>15.Tre.Men</vt:lpstr>
      <vt:lpstr>16.CR</vt:lpstr>
      <vt:lpstr>17.Tre.An</vt:lpstr>
      <vt:lpstr>18.Van</vt:lpstr>
      <vt:lpstr>19.Bilan</vt:lpstr>
      <vt:lpstr>20.CR IFRS</vt:lpstr>
      <vt:lpstr>21.BFR</vt:lpstr>
      <vt:lpstr>BP_Pres!_Toc209939</vt:lpstr>
      <vt:lpstr>BP_Pres!_Toc209949</vt:lpstr>
      <vt:lpstr>BP_Pres!_Toc209956</vt:lpstr>
      <vt:lpstr>BP_Pres!_Toc209961</vt:lpstr>
      <vt:lpstr>BP_Pres!_Toc209965</vt:lpstr>
      <vt:lpstr>BP_Pres!_Toc3199075</vt:lpstr>
      <vt:lpstr>BP_Pres!_Toc3199076</vt:lpstr>
      <vt:lpstr>BP_Pres!_Toc3199077</vt:lpstr>
      <vt:lpstr>BP_Pres!_Toc3199078</vt:lpstr>
      <vt:lpstr>BP_Pres!_Toc3199080</vt:lpstr>
      <vt:lpstr>BP_Pres!_Toc3199083</vt:lpstr>
      <vt:lpstr>BP_Pres!_Toc3199084</vt:lpstr>
      <vt:lpstr>BP_Pres!_Toc3199085</vt:lpstr>
      <vt:lpstr>BP_Pres!_Toc3199086</vt:lpstr>
      <vt:lpstr>BP_Pres!_Toc3199088</vt:lpstr>
      <vt:lpstr>BP_Pres!_Toc3199089</vt:lpstr>
      <vt:lpstr>BP_Pres!_Toc3199090</vt:lpstr>
      <vt:lpstr>BP_Pres!_Toc3199091</vt:lpstr>
      <vt:lpstr>BP_Pres!_Toc3199092</vt:lpstr>
      <vt:lpstr>BP_Pres!_Toc3199093</vt:lpstr>
      <vt:lpstr>BP_Pres!_Toc959083</vt:lpstr>
      <vt:lpstr>BP_Pres!Zone_d_impression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Roméo NANGO</dc:creator>
  <cp:lastModifiedBy>Microsoft Office User</cp:lastModifiedBy>
  <dcterms:created xsi:type="dcterms:W3CDTF">2021-07-06T18:56:11Z</dcterms:created>
  <dcterms:modified xsi:type="dcterms:W3CDTF">2022-03-31T22:52:26Z</dcterms:modified>
</cp:coreProperties>
</file>