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3.xml" ContentType="application/vnd.openxmlformats-officedocument.spreadsheetml.comments+xml"/>
  <Override PartName="/xl/comments14.xml" ContentType="application/vnd.openxmlformats-officedocument.spreadsheetml.comments+xml"/>
  <Override PartName="/xl/comments21.xml" ContentType="application/vnd.openxmlformats-officedocument.spreadsheetml.comments+xml"/>
  <Default Extension="jpg" ContentType="image/jpe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BP_Pres" sheetId="1" r:id="rId4"/>
    <sheet name="LiensFeuilles" sheetId="2" r:id="rId5"/>
    <sheet name="1.Var.Fin" sheetId="3" r:id="rId6"/>
    <sheet name="2.Cal.Amo.CT" sheetId="4" r:id="rId7"/>
    <sheet name="3.Cal.Amo.LT" sheetId="5" r:id="rId8"/>
    <sheet name="4.Cal.Amo.AI" sheetId="6" r:id="rId9"/>
    <sheet name="5.Inv" sheetId="7" r:id="rId10"/>
    <sheet name="6.Var.Inv" sheetId="8" r:id="rId11"/>
    <sheet name="7.Bud.Inv." sheetId="9" r:id="rId12"/>
    <sheet name="8.Prod" sheetId="10" r:id="rId13"/>
    <sheet name="9.Var.Vente1" sheetId="11" r:id="rId14"/>
    <sheet name="10.Vente" sheetId="12" r:id="rId15"/>
    <sheet name="11.Charges" sheetId="13" r:id="rId16"/>
    <sheet name="12.Char.Dir" sheetId="14" r:id="rId17"/>
    <sheet name="13.Var.Char.Ind" sheetId="15" r:id="rId18"/>
    <sheet name="14.Char.Ind" sheetId="16" r:id="rId19"/>
    <sheet name="15.Tre.Men" sheetId="17" r:id="rId20"/>
    <sheet name="16.CR" sheetId="18" r:id="rId21"/>
    <sheet name="17.Tre.An" sheetId="19" r:id="rId22"/>
    <sheet name="18.Van" sheetId="20" r:id="rId23"/>
    <sheet name="19.Bilan" sheetId="21" r:id="rId24"/>
    <sheet name="20.CR IFRS" sheetId="22" r:id="rId25"/>
    <sheet name="21.BFR" sheetId="23" r:id="rId26"/>
  </sheets>
  <definedNames>
    <definedName name="_Toc209908" localSheetId="0">BP_Pres!#REF!</definedName>
    <definedName name="_Toc209939" localSheetId="0">'BP_Pres'!$A$157</definedName>
    <definedName name="_Toc209949" localSheetId="0">'BP_Pres'!$A$165</definedName>
    <definedName name="_Toc209956" localSheetId="0">'BP_Pres'!$A$223</definedName>
    <definedName name="_Toc209961" localSheetId="0">'BP_Pres'!$A$297</definedName>
    <definedName name="_Toc209965" localSheetId="0">'BP_Pres'!$A$369</definedName>
    <definedName name="_Toc3199075" localSheetId="0">'BP_Pres'!$A$98</definedName>
    <definedName name="_Toc3199076" localSheetId="0">'BP_Pres'!$A$125</definedName>
    <definedName name="_Toc3199077" localSheetId="0">'BP_Pres'!$A$126</definedName>
    <definedName name="_Toc3199078" localSheetId="0">'BP_Pres'!$A$130</definedName>
    <definedName name="_Toc3199080" localSheetId="0">'BP_Pres'!$A$160</definedName>
    <definedName name="_Toc3199082" localSheetId="0">BP_Pres!#REF!</definedName>
    <definedName name="_Toc3199083" localSheetId="0">'BP_Pres'!$A$167</definedName>
    <definedName name="_Toc3199084" localSheetId="0">'BP_Pres'!$A$199</definedName>
    <definedName name="_Toc3199085" localSheetId="0">'BP_Pres'!$A$200</definedName>
    <definedName name="_Toc3199086" localSheetId="0">'BP_Pres'!$A$211</definedName>
    <definedName name="_Toc3199088" localSheetId="0">'BP_Pres'!$A$224</definedName>
    <definedName name="_Toc3199089" localSheetId="0">'BP_Pres'!$A$252</definedName>
    <definedName name="_Toc3199090" localSheetId="0">'BP_Pres'!$A$269</definedName>
    <definedName name="_Toc3199091" localSheetId="0">'BP_Pres'!$A$297</definedName>
    <definedName name="_Toc3199092" localSheetId="0">'BP_Pres'!$A$298</definedName>
    <definedName name="_Toc3199093" localSheetId="0">'BP_Pres'!$A$346</definedName>
    <definedName name="_Toc959083" localSheetId="0">'BP_Pres'!$A$262</definedName>
    <definedName name="Debt_Choice">#REF!</definedName>
    <definedName name="jj">#REF!</definedName>
    <definedName name="valuevx">42.314159</definedName>
    <definedName name="_xlnm.Print_Area" localSheetId="0">'BP_Pres'!$A$22:$G$411</definedName>
  </definedNames>
  <calcPr calcId="999999" calcMode="auto" calcCompleted="1" fullCalcOnLoad="0" forceFullCalc="0"/>
</workbook>
</file>

<file path=xl/comments3.xml><?xml version="1.0" encoding="utf-8"?>
<comments xmlns="http://schemas.openxmlformats.org/spreadsheetml/2006/main">
  <authors>
    <author>tc={0DC1CFCC-8E87-4120-A5CE-81803D9925C8}</author>
    <author>tc={472EA5F1-1742-4A3D-BAE2-5ED12FEDC82A}</author>
  </authors>
  <commentList>
    <comment ref="A10" authorId="0">
      <text>
        <r>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Il faudra rajouter une condition ici liée à la trésorerie de sorte que s'il ya une valeur negative dans la trésorerie, le BFR est augmenté</t>
        </r>
      </text>
    </comment>
    <comment ref="A16" authorId="1">
      <text>
        <r>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l'apport initial est remboursé à une échéance de plus de 1 an.</t>
        </r>
      </text>
    </comment>
  </commentList>
</comments>
</file>

<file path=xl/comments14.xml><?xml version="1.0" encoding="utf-8"?>
<comments xmlns="http://schemas.openxmlformats.org/spreadsheetml/2006/main">
  <authors>
    <author>tc={B607EB17-4901-4E62-BEAA-0B5FCBFF568B}</author>
  </authors>
  <commentList>
    <comment ref="Q26" authorId="0">
      <text>
        <r>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Il faudra supposer dans tous les BP que le salaire est fixe ou évolue par pallier</t>
        </r>
      </text>
    </comment>
  </commentList>
</comments>
</file>

<file path=xl/comments21.xml><?xml version="1.0" encoding="utf-8"?>
<comments xmlns="http://schemas.openxmlformats.org/spreadsheetml/2006/main">
  <authors>
    <author>tc={84C99116-3A25-46E8-BD38-B6495E59A964}</author>
    <author>tc={3D9764C8-0B18-4565-8A2A-9EFD50A27FA6}</author>
  </authors>
  <commentList>
    <comment ref="B13" authorId="0">
      <text>
        <r>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L'apport initial est fixé à Zéro</t>
        </r>
      </text>
    </comment>
    <comment ref="B14" authorId="1">
      <text>
        <r>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Tous les revenus obtenus sont reinvesti durant toute la durée du projet.</t>
        </r>
      </text>
    </comment>
  </commentList>
</comments>
</file>

<file path=xl/sharedStrings.xml><?xml version="1.0" encoding="utf-8"?>
<sst xmlns="http://schemas.openxmlformats.org/spreadsheetml/2006/main" uniqueCount="405">
  <si>
    <t>Instructions:</t>
  </si>
  <si>
    <t>1. Remplir les données concernant les "variables principales". Les calculs se font automatiquement.</t>
  </si>
  <si>
    <t>2. Remplir les informations sur le promoteur aux pages 1 et 3.</t>
  </si>
  <si>
    <t>3. Imprimer</t>
  </si>
  <si>
    <t>Variables principales pour le client final</t>
  </si>
  <si>
    <t>Type de produit</t>
  </si>
  <si>
    <t>Nom</t>
  </si>
  <si>
    <t>Qté</t>
  </si>
  <si>
    <t>Prix</t>
  </si>
  <si>
    <t>Ventes de marchandises</t>
  </si>
  <si>
    <t>CA de Tenue de luxe Homme</t>
  </si>
  <si>
    <t>CA de Tenue de luxe Femme</t>
  </si>
  <si>
    <t>CA de Prêt-à-porter homme</t>
  </si>
  <si>
    <t>CA de Prêt-à-porter femme</t>
  </si>
  <si>
    <t>Table des matières</t>
  </si>
  <si>
    <t>RÉSUMÉ DU PROJET</t>
  </si>
  <si>
    <t>1.</t>
  </si>
  <si>
    <t>DESCRIPTION DU PROJET</t>
  </si>
  <si>
    <t>2.</t>
  </si>
  <si>
    <t>MOYENS MATÉRIELS ET HUMAINS</t>
  </si>
  <si>
    <t>3.</t>
  </si>
  <si>
    <t>PROGRAMME DE RÉALISATION</t>
  </si>
  <si>
    <t>4.</t>
  </si>
  <si>
    <t>DESCRIPTION DU MARCHE</t>
  </si>
  <si>
    <t>5.</t>
  </si>
  <si>
    <t>ÉTUDE FINANCIÈRE ET PLAN DE FINANCEMENT</t>
  </si>
  <si>
    <t>5.1</t>
  </si>
  <si>
    <t>Investissements</t>
  </si>
  <si>
    <t>5.2</t>
  </si>
  <si>
    <t>Fonds de Roulement</t>
  </si>
  <si>
    <t>5.3</t>
  </si>
  <si>
    <t>Récapitulatif des besoins de financement</t>
  </si>
  <si>
    <t>5.4</t>
  </si>
  <si>
    <t>Prévision des recettes</t>
  </si>
  <si>
    <t>6.</t>
  </si>
  <si>
    <t>LES CHARGES D’EXPLOITATION</t>
  </si>
  <si>
    <t>6.1</t>
  </si>
  <si>
    <t>Achats, services extérieurs et autres charges</t>
  </si>
  <si>
    <t>6.2</t>
  </si>
  <si>
    <t>Impôts annuels et frais financiers</t>
  </si>
  <si>
    <t>6.3</t>
  </si>
  <si>
    <t>Tableau d’amortissement financier</t>
  </si>
  <si>
    <t>7.</t>
  </si>
  <si>
    <t>COMPTE D’EXPLOITATION PRÉVISIONNEL</t>
  </si>
  <si>
    <t>7.1</t>
  </si>
  <si>
    <t>Tableau du compte d’exploitation</t>
  </si>
  <si>
    <t>7.2</t>
  </si>
  <si>
    <t>Budget de trésorerie mensuelle</t>
  </si>
  <si>
    <t>7.3</t>
  </si>
  <si>
    <t>Plan de Trésorerie annuelle</t>
  </si>
  <si>
    <t>7.4</t>
  </si>
  <si>
    <t>Bilan annuel prévisionnel</t>
  </si>
  <si>
    <t>NOM DU BÉNÉFICIAIRE :</t>
  </si>
  <si>
    <t xml:space="preserve">Ce simulateur de business plan s'adresse principalement aux promotteurs qui souhaitent vendre en gros des vêtements, des matériaux de construction, des voitures… Il reprend un circuit classique d'importation par container et de revente du contenu du container aux clients grossistes. </t>
  </si>
  <si>
    <r>
      <t xml:space="preserve">Ø</t>
    </r>
    <r>
      <rPr>
        <rFont val="Arial"/>
        <b val="false"/>
        <i val="false"/>
        <strike val="false"/>
        <color rgb="FF000000"/>
        <sz val="7"/>
        <u val="none"/>
      </rPr>
      <t xml:space="preserve">  </t>
    </r>
    <r>
      <rPr>
        <rFont val="Arial"/>
        <b val="false"/>
        <i val="false"/>
        <strike val="false"/>
        <color rgb="FF000000"/>
        <sz val="11"/>
        <u val="none"/>
      </rPr>
      <t xml:space="preserve">Nom et prénoms : </t>
    </r>
  </si>
  <si>
    <r>
      <t xml:space="preserve">Ø</t>
    </r>
    <r>
      <rPr>
        <rFont val="Arial"/>
        <b val="false"/>
        <i val="false"/>
        <strike val="false"/>
        <color rgb="FF000000"/>
        <sz val="7"/>
        <u val="none"/>
      </rPr>
      <t xml:space="preserve">  </t>
    </r>
    <r>
      <rPr>
        <rFont val="Arial"/>
        <b val="false"/>
        <i val="false"/>
        <strike val="false"/>
        <color rgb="FF000000"/>
        <sz val="11"/>
        <u val="none"/>
      </rPr>
      <t xml:space="preserve">Date et lieu de naissance :</t>
    </r>
  </si>
  <si>
    <r>
      <t xml:space="preserve">Ø</t>
    </r>
    <r>
      <rPr>
        <rFont val="Arial"/>
        <b val="false"/>
        <i val="false"/>
        <strike val="false"/>
        <color rgb="FF000000"/>
        <sz val="7"/>
        <u val="none"/>
      </rPr>
      <t xml:space="preserve">  </t>
    </r>
    <r>
      <rPr>
        <rFont val="Arial"/>
        <b val="false"/>
        <i val="false"/>
        <strike val="false"/>
        <color rgb="FF000000"/>
        <sz val="11"/>
        <u val="none"/>
      </rPr>
      <t xml:space="preserve">Sexe :</t>
    </r>
  </si>
  <si>
    <r>
      <t xml:space="preserve">Ø</t>
    </r>
    <r>
      <rPr>
        <rFont val="Arial"/>
        <b val="false"/>
        <i val="false"/>
        <strike val="false"/>
        <color rgb="FF000000"/>
        <sz val="7"/>
        <u val="none"/>
      </rPr>
      <t xml:space="preserve">  </t>
    </r>
    <r>
      <rPr>
        <rFont val="Arial"/>
        <b val="false"/>
        <i val="false"/>
        <strike val="false"/>
        <color rgb="FF000000"/>
        <sz val="11"/>
        <u val="none"/>
      </rPr>
      <t xml:space="preserve">Situation Matrimoniale :</t>
    </r>
  </si>
  <si>
    <r>
      <t xml:space="preserve">Ø</t>
    </r>
    <r>
      <rPr>
        <rFont val="Arial"/>
        <b val="false"/>
        <i val="false"/>
        <strike val="false"/>
        <color rgb="FF000000"/>
        <sz val="7"/>
        <u val="none"/>
      </rPr>
      <t xml:space="preserve">  </t>
    </r>
    <r>
      <rPr>
        <rFont val="Arial"/>
        <b val="false"/>
        <i val="false"/>
        <strike val="false"/>
        <color rgb="FF000000"/>
        <sz val="11"/>
        <u val="none"/>
      </rPr>
      <t xml:space="preserve">Niveau d’étude et diplôme :</t>
    </r>
  </si>
  <si>
    <r>
      <t xml:space="preserve">Ø</t>
    </r>
    <r>
      <rPr>
        <rFont val="Arial"/>
        <b val="false"/>
        <i val="false"/>
        <strike val="false"/>
        <color rgb="FF000000"/>
        <sz val="7"/>
        <u val="none"/>
      </rPr>
      <t xml:space="preserve">  </t>
    </r>
    <r>
      <rPr>
        <rFont val="Arial"/>
        <b val="false"/>
        <i val="false"/>
        <strike val="false"/>
        <color rgb="FF000000"/>
        <sz val="11"/>
        <u val="none"/>
      </rPr>
      <t xml:space="preserve">Téléphone : </t>
    </r>
  </si>
  <si>
    <r>
      <t xml:space="preserve">Ø</t>
    </r>
    <r>
      <rPr>
        <rFont val="Arial"/>
        <b val="false"/>
        <i val="false"/>
        <strike val="false"/>
        <color rgb="FF000000"/>
        <sz val="7"/>
        <u val="none"/>
      </rPr>
      <t xml:space="preserve">  </t>
    </r>
    <r>
      <rPr>
        <rFont val="Arial"/>
        <b val="false"/>
        <i val="false"/>
        <strike val="false"/>
        <color rgb="FF000000"/>
        <sz val="11"/>
        <u val="none"/>
      </rPr>
      <t xml:space="preserve">Adresse géographique :</t>
    </r>
  </si>
  <si>
    <t>Année 1</t>
  </si>
  <si>
    <t>Année 2</t>
  </si>
  <si>
    <t>Année 3</t>
  </si>
  <si>
    <t>Année 4</t>
  </si>
  <si>
    <t>Année 5</t>
  </si>
  <si>
    <t>Total</t>
  </si>
  <si>
    <t>Financement total requis</t>
  </si>
  <si>
    <t>Capital initial</t>
  </si>
  <si>
    <t>Emprunt à court terme (BFR, achat…)</t>
  </si>
  <si>
    <t>Durée (mois)</t>
  </si>
  <si>
    <t>Taux</t>
  </si>
  <si>
    <t>Mensualité</t>
  </si>
  <si>
    <t xml:space="preserve">Emprunt à long terme à solliciter </t>
  </si>
  <si>
    <t>Durée (année)</t>
  </si>
  <si>
    <t>Annuité</t>
  </si>
  <si>
    <t>CA Estimé</t>
  </si>
  <si>
    <t>Profit</t>
  </si>
  <si>
    <t>Taux de profitabilité</t>
  </si>
  <si>
    <t>VAN sur 5 ans</t>
  </si>
  <si>
    <t>TRI sur 5 ans</t>
  </si>
  <si>
    <r>
      <t xml:space="preserve">1.</t>
    </r>
    <r>
      <rPr>
        <rFont val="Arial"/>
        <b val="true"/>
        <i val="false"/>
        <strike val="false"/>
        <color rgb="FF000000"/>
        <sz val="7"/>
        <u val="none"/>
      </rPr>
      <t xml:space="preserve">    </t>
    </r>
    <r>
      <rPr>
        <rFont val="Arial"/>
        <b val="true"/>
        <i val="false"/>
        <strike val="false"/>
        <color rgb="FF000000"/>
        <sz val="12"/>
        <u val="none"/>
      </rPr>
      <t xml:space="preserve">DESCRIPTION DU PROJET</t>
    </r>
  </si>
  <si>
    <t>A compléter.</t>
  </si>
  <si>
    <r>
      <t xml:space="preserve">2.</t>
    </r>
    <r>
      <rPr>
        <rFont val="Arial"/>
        <b val="true"/>
        <i val="false"/>
        <strike val="false"/>
        <color rgb="FF000000"/>
        <sz val="7"/>
        <u val="none"/>
      </rPr>
      <t xml:space="preserve">    </t>
    </r>
    <r>
      <rPr>
        <rFont val="Arial"/>
        <b val="true"/>
        <i val="false"/>
        <strike val="false"/>
        <color rgb="FF000000"/>
        <sz val="12"/>
        <u val="none"/>
      </rPr>
      <t xml:space="preserve">MOYENS MATÉRIELS &amp; HUMAINS</t>
    </r>
  </si>
  <si>
    <r>
      <t xml:space="preserve">2.1</t>
    </r>
    <r>
      <rPr>
        <rFont val="Arial"/>
        <b val="true"/>
        <i val="false"/>
        <strike val="false"/>
        <color rgb="FF000000"/>
        <sz val="7"/>
        <u val="none"/>
      </rPr>
      <t xml:space="preserve">   </t>
    </r>
    <r>
      <rPr>
        <rFont val="Arial"/>
        <b val="true"/>
        <i val="false"/>
        <strike val="false"/>
        <color rgb="FF000000"/>
        <sz val="12"/>
        <u val="none"/>
      </rPr>
      <t xml:space="preserve">MOYENS MATÉRIELS</t>
    </r>
  </si>
  <si>
    <t>Les investissements prévus dans cadre de ce projet sont les suivants :</t>
  </si>
  <si>
    <t>Montant Un.</t>
  </si>
  <si>
    <t>Nb</t>
  </si>
  <si>
    <t>N+1</t>
  </si>
  <si>
    <t>N+2</t>
  </si>
  <si>
    <r>
      <t xml:space="preserve">2.2</t>
    </r>
    <r>
      <rPr>
        <rFont val="Arial"/>
        <b val="true"/>
        <i val="false"/>
        <strike val="false"/>
        <color rgb="FF000000"/>
        <sz val="7"/>
        <u val="none"/>
      </rPr>
      <t xml:space="preserve">    </t>
    </r>
    <r>
      <rPr>
        <rFont val="Arial"/>
        <b val="true"/>
        <i val="false"/>
        <strike val="false"/>
        <color rgb="FF000000"/>
        <sz val="12"/>
        <u val="none"/>
      </rPr>
      <t xml:space="preserve">MOYENS HUMAINS</t>
    </r>
  </si>
  <si>
    <t xml:space="preserve">Les ressources humaines necessaires à la réalisation du projet seront composée de : </t>
  </si>
  <si>
    <t>Indiquer tous les types de ressources humaines, leur postes, leur catégorie socio professionnel, leur salaire</t>
  </si>
  <si>
    <r>
      <t xml:space="preserve">3.</t>
    </r>
    <r>
      <rPr>
        <rFont val="Arial"/>
        <b val="true"/>
        <i val="false"/>
        <strike val="false"/>
        <color rgb="FF000000"/>
        <sz val="7"/>
        <u val="none"/>
      </rPr>
      <t xml:space="preserve">    </t>
    </r>
    <r>
      <rPr>
        <rFont val="Arial"/>
        <b val="true"/>
        <i val="false"/>
        <strike val="false"/>
        <color rgb="FF000000"/>
        <sz val="12"/>
        <u val="none"/>
      </rPr>
      <t xml:space="preserve">PROGRAMME DE RÉALISATION</t>
    </r>
  </si>
  <si>
    <r>
      <t xml:space="preserve">4.</t>
    </r>
    <r>
      <rPr>
        <rFont val="Arial"/>
        <b val="true"/>
        <i val="false"/>
        <strike val="false"/>
        <color rgb="FF000000"/>
        <sz val="7"/>
        <u val="none"/>
      </rPr>
      <t xml:space="preserve">    </t>
    </r>
    <r>
      <rPr>
        <rFont val="Arial"/>
        <b val="true"/>
        <i val="false"/>
        <strike val="false"/>
        <color rgb="FF000000"/>
        <sz val="12"/>
        <u val="none"/>
      </rPr>
      <t xml:space="preserve">DESCRIPTION DU MARCHE</t>
    </r>
  </si>
  <si>
    <r>
      <t xml:space="preserve">5.</t>
    </r>
    <r>
      <rPr>
        <rFont val="Arial"/>
        <b val="true"/>
        <i val="false"/>
        <strike val="false"/>
        <color rgb="FF000000"/>
        <sz val="7"/>
        <u val="none"/>
      </rPr>
      <t xml:space="preserve">    </t>
    </r>
    <r>
      <rPr>
        <rFont val="Arial"/>
        <b val="true"/>
        <i val="false"/>
        <strike val="false"/>
        <color rgb="FF000000"/>
        <sz val="12"/>
        <u val="none"/>
      </rPr>
      <t xml:space="preserve">ÉTUDE FINANCIÈRE ET PLAN DE FINANCEMENT</t>
    </r>
  </si>
  <si>
    <r>
      <t xml:space="preserve">5.1</t>
    </r>
    <r>
      <rPr>
        <rFont val="Arial"/>
        <b val="true"/>
        <i val="false"/>
        <strike val="false"/>
        <color rgb="FF000000"/>
        <sz val="7"/>
        <u val="none"/>
      </rPr>
      <t xml:space="preserve">   </t>
    </r>
    <r>
      <rPr>
        <rFont val="Arial"/>
        <b val="true"/>
        <i val="false"/>
        <strike val="false"/>
        <color rgb="FF000000"/>
        <sz val="12"/>
        <u val="none"/>
      </rPr>
      <t xml:space="preserve">Fonds de Roulement</t>
    </r>
  </si>
  <si>
    <t>Rubrique</t>
  </si>
  <si>
    <t>Nb mois</t>
  </si>
  <si>
    <t>Chiffre d'affaires</t>
  </si>
  <si>
    <t>Dépenses d'exploitation</t>
  </si>
  <si>
    <r>
      <t xml:space="preserve">5.3</t>
    </r>
    <r>
      <rPr>
        <rFont val="Arial"/>
        <b val="true"/>
        <i val="false"/>
        <strike val="false"/>
        <color rgb="FF000000"/>
        <sz val="7"/>
        <u val="none"/>
      </rPr>
      <t xml:space="preserve">   </t>
    </r>
    <r>
      <rPr>
        <rFont val="Arial"/>
        <b val="true"/>
        <i val="false"/>
        <strike val="false"/>
        <color rgb="FF000000"/>
        <sz val="12"/>
        <u val="none"/>
      </rPr>
      <t xml:space="preserve">Récapitulatif des besoins de financement</t>
    </r>
  </si>
  <si>
    <t>Rubriques</t>
  </si>
  <si>
    <t>Apport
personnel</t>
  </si>
  <si>
    <t>Emprunt</t>
  </si>
  <si>
    <t>%</t>
  </si>
  <si>
    <t>Emplois</t>
  </si>
  <si>
    <t>Charges d’exploitation</t>
  </si>
  <si>
    <t>Besoin global de financement</t>
  </si>
  <si>
    <t>Ressources</t>
  </si>
  <si>
    <t>Crédit d’investissement</t>
  </si>
  <si>
    <t>Crédit de trésorerie</t>
  </si>
  <si>
    <t>Total des ressources</t>
  </si>
  <si>
    <t>Total des ressources en pourcentage</t>
  </si>
  <si>
    <r>
      <t xml:space="preserve">5.4</t>
    </r>
    <r>
      <rPr>
        <rFont val="Arial"/>
        <b val="true"/>
        <i val="false"/>
        <strike val="false"/>
        <color rgb="FF000000"/>
        <sz val="7"/>
        <u val="none"/>
      </rPr>
      <t xml:space="preserve">   </t>
    </r>
    <r>
      <rPr>
        <rFont val="Arial"/>
        <b val="true"/>
        <i val="false"/>
        <strike val="false"/>
        <color rgb="FF000000"/>
        <sz val="12"/>
        <u val="none"/>
      </rPr>
      <t xml:space="preserve">Prévision des recettes</t>
    </r>
  </si>
  <si>
    <t>Années</t>
  </si>
  <si>
    <t>An 1</t>
  </si>
  <si>
    <t xml:space="preserve">An 2 </t>
  </si>
  <si>
    <t>An 3</t>
  </si>
  <si>
    <t>An 4</t>
  </si>
  <si>
    <t>An 5</t>
  </si>
  <si>
    <r>
      <t xml:space="preserve">Hypothèse d’évolution des volumes en année</t>
    </r>
    <r>
      <rPr>
        <rFont val="Arial"/>
        <b val="true"/>
        <i val="false"/>
        <strike val="false"/>
        <color rgb="FFFFC000"/>
        <sz val="11"/>
        <u val="none"/>
      </rPr>
      <t xml:space="preserve"> </t>
    </r>
  </si>
  <si>
    <t>AN 1</t>
  </si>
  <si>
    <t>AN 2</t>
  </si>
  <si>
    <t>AN 3</t>
  </si>
  <si>
    <t>AN 4</t>
  </si>
  <si>
    <t>AN 5</t>
  </si>
  <si>
    <r>
      <t xml:space="preserve">6.</t>
    </r>
    <r>
      <rPr>
        <rFont val="Arial"/>
        <b val="true"/>
        <i val="false"/>
        <strike val="false"/>
        <color rgb="FF000000"/>
        <sz val="7"/>
        <u val="none"/>
      </rPr>
      <t xml:space="preserve">    </t>
    </r>
    <r>
      <rPr>
        <rFont val="Arial"/>
        <b val="true"/>
        <i val="false"/>
        <strike val="false"/>
        <color rgb="FF000000"/>
        <sz val="12"/>
        <u val="none"/>
      </rPr>
      <t xml:space="preserve">LES CHARGES D’EXPLOITATION</t>
    </r>
  </si>
  <si>
    <r>
      <t xml:space="preserve">6.1</t>
    </r>
    <r>
      <rPr>
        <rFont val="Arial"/>
        <b val="true"/>
        <i val="false"/>
        <strike val="false"/>
        <color rgb="FF000000"/>
        <sz val="7"/>
        <u val="none"/>
      </rPr>
      <t xml:space="preserve">   </t>
    </r>
    <r>
      <rPr>
        <rFont val="Arial"/>
        <b val="true"/>
        <i val="false"/>
        <strike val="false"/>
        <color rgb="FF000000"/>
        <sz val="12"/>
        <u val="none"/>
      </rPr>
      <t xml:space="preserve">Achats, services extérieurs et autres charges</t>
    </r>
  </si>
  <si>
    <t>DESIGNATION</t>
  </si>
  <si>
    <t>An 2</t>
  </si>
  <si>
    <r>
      <t xml:space="preserve">6.2</t>
    </r>
    <r>
      <rPr>
        <rFont val="Arial"/>
        <b val="true"/>
        <i val="false"/>
        <strike val="false"/>
        <color rgb="FF000000"/>
        <sz val="7"/>
        <u val="none"/>
      </rPr>
      <t xml:space="preserve">   </t>
    </r>
    <r>
      <rPr>
        <rFont val="Arial"/>
        <b val="true"/>
        <i val="false"/>
        <strike val="false"/>
        <color rgb="FF000000"/>
        <sz val="12"/>
        <u val="none"/>
      </rPr>
      <t xml:space="preserve">Frais financiers et impôts</t>
    </r>
  </si>
  <si>
    <t>Intérêts crédits</t>
  </si>
  <si>
    <t>Taxes et impôts annuels</t>
  </si>
  <si>
    <r>
      <t xml:space="preserve">6.3</t>
    </r>
    <r>
      <rPr>
        <rFont val="Arial"/>
        <b val="true"/>
        <i val="false"/>
        <strike val="false"/>
        <color rgb="FF000000"/>
        <sz val="7"/>
        <u val="none"/>
      </rPr>
      <t xml:space="preserve">   </t>
    </r>
    <r>
      <rPr>
        <rFont val="Arial"/>
        <b val="true"/>
        <i val="false"/>
        <strike val="false"/>
        <color rgb="FF000000"/>
        <sz val="12"/>
        <u val="none"/>
      </rPr>
      <t xml:space="preserve">Tableau d’Amortissement des Immobilisations</t>
    </r>
  </si>
  <si>
    <t>Amortissement</t>
  </si>
  <si>
    <r>
      <t xml:space="preserve">6.4</t>
    </r>
    <r>
      <rPr>
        <rFont val="Arial"/>
        <b val="true"/>
        <i val="false"/>
        <strike val="false"/>
        <color rgb="FF000000"/>
        <sz val="7"/>
        <u val="none"/>
      </rPr>
      <t xml:space="preserve">   </t>
    </r>
    <r>
      <rPr>
        <rFont val="Arial"/>
        <b val="true"/>
        <i val="false"/>
        <strike val="false"/>
        <color rgb="FF000000"/>
        <sz val="12"/>
        <u val="none"/>
      </rPr>
      <t xml:space="preserve">Tableau d’amortissement financier</t>
    </r>
  </si>
  <si>
    <r>
      <t xml:space="preserve">·</t>
    </r>
    <r>
      <rPr>
        <rFont val="Arial"/>
        <b val="false"/>
        <i val="false"/>
        <strike val="false"/>
        <color rgb="FF000000"/>
        <sz val="7"/>
        <u val="none"/>
      </rPr>
      <t xml:space="preserve">         </t>
    </r>
    <r>
      <rPr>
        <rFont val="Arial"/>
        <b val="false"/>
        <i val="false"/>
        <strike val="false"/>
        <color rgb="FF000000"/>
        <sz val="11"/>
        <u val="none"/>
      </rPr>
      <t xml:space="preserve">Montant de l’emprunt à long terme est de</t>
    </r>
  </si>
  <si>
    <t>F CFA</t>
  </si>
  <si>
    <r>
      <t xml:space="preserve">·</t>
    </r>
    <r>
      <rPr>
        <rFont val="Arial"/>
        <b val="false"/>
        <i val="false"/>
        <strike val="false"/>
        <color rgb="FF000000"/>
        <sz val="7"/>
        <u val="none"/>
      </rPr>
      <t xml:space="preserve">         </t>
    </r>
    <r>
      <rPr>
        <rFont val="Arial"/>
        <b val="false"/>
        <i val="false"/>
        <strike val="false"/>
        <color rgb="FF000000"/>
        <sz val="11"/>
        <u val="none"/>
      </rPr>
      <t xml:space="preserve">Taux d’intérêt</t>
    </r>
  </si>
  <si>
    <r>
      <t xml:space="preserve">·</t>
    </r>
    <r>
      <rPr>
        <rFont val="Arial"/>
        <b val="false"/>
        <i val="false"/>
        <strike val="false"/>
        <color rgb="FF000000"/>
        <sz val="7"/>
        <u val="none"/>
      </rPr>
      <t xml:space="preserve">         </t>
    </r>
    <r>
      <rPr>
        <rFont val="Arial"/>
        <b val="false"/>
        <i val="false"/>
        <strike val="false"/>
        <color rgb="FF000000"/>
        <sz val="11"/>
        <u val="none"/>
      </rPr>
      <t xml:space="preserve">Durée de l’emprunt</t>
    </r>
  </si>
  <si>
    <t>Capit. à Rembours.</t>
  </si>
  <si>
    <t>Intérêts</t>
  </si>
  <si>
    <t>Amortis. du capital</t>
  </si>
  <si>
    <t>N</t>
  </si>
  <si>
    <t>N+3</t>
  </si>
  <si>
    <t>N+4</t>
  </si>
  <si>
    <r>
      <t xml:space="preserve">·</t>
    </r>
    <r>
      <rPr>
        <rFont val="Arial"/>
        <b val="false"/>
        <i val="false"/>
        <strike val="false"/>
        <color rgb="FF000000"/>
        <sz val="7"/>
        <u val="none"/>
      </rPr>
      <t xml:space="preserve">         </t>
    </r>
    <r>
      <rPr>
        <rFont val="Arial"/>
        <b val="false"/>
        <i val="false"/>
        <strike val="false"/>
        <color rgb="FF000000"/>
        <sz val="11"/>
        <u val="none"/>
      </rPr>
      <t xml:space="preserve">Montant de l’emprunt à court terme est de</t>
    </r>
  </si>
  <si>
    <t>Mois</t>
  </si>
  <si>
    <r>
      <t xml:space="preserve">7.</t>
    </r>
    <r>
      <rPr>
        <rFont val="Arial"/>
        <b val="true"/>
        <i val="false"/>
        <strike val="false"/>
        <color rgb="FF000000"/>
        <sz val="7"/>
        <u val="none"/>
      </rPr>
      <t xml:space="preserve">    </t>
    </r>
    <r>
      <rPr>
        <rFont val="Arial"/>
        <b val="true"/>
        <i val="false"/>
        <strike val="false"/>
        <color rgb="FF000000"/>
        <sz val="12"/>
        <u val="none"/>
      </rPr>
      <t xml:space="preserve">COMPTE D’EXPLOITATION PRÉVISIONNEL</t>
    </r>
  </si>
  <si>
    <r>
      <t xml:space="preserve">7.1</t>
    </r>
    <r>
      <rPr>
        <rFont val="Arial"/>
        <b val="true"/>
        <i val="false"/>
        <strike val="false"/>
        <color rgb="FF000000"/>
        <sz val="7"/>
        <u val="none"/>
      </rPr>
      <t xml:space="preserve">   </t>
    </r>
    <r>
      <rPr>
        <rFont val="Arial"/>
        <b val="true"/>
        <i val="false"/>
        <strike val="false"/>
        <color rgb="FF000000"/>
        <sz val="12"/>
        <u val="none"/>
      </rPr>
      <t xml:space="preserve">Tableau du compte d’exploitation</t>
    </r>
  </si>
  <si>
    <t>Compte de résultats modèle SYSCOHADA</t>
  </si>
  <si>
    <t xml:space="preserve">ou </t>
  </si>
  <si>
    <t>Compte de résultats modèle IFRS</t>
  </si>
  <si>
    <r>
      <t xml:space="preserve">7.2</t>
    </r>
    <r>
      <rPr>
        <rFont val="Arial"/>
        <b val="true"/>
        <i val="false"/>
        <strike val="false"/>
        <color rgb="FF000000"/>
        <sz val="7"/>
        <u val="none"/>
      </rPr>
      <t xml:space="preserve">   </t>
    </r>
    <r>
      <rPr>
        <rFont val="Arial"/>
        <b val="true"/>
        <i val="false"/>
        <strike val="false"/>
        <color rgb="FF000000"/>
        <sz val="12"/>
        <u val="none"/>
      </rPr>
      <t xml:space="preserve">Budget de trésorerie mensuelle</t>
    </r>
  </si>
  <si>
    <t>MOIS</t>
  </si>
  <si>
    <t>Montant (FCFA)</t>
  </si>
  <si>
    <t>SOLDE DE TRÉSORERIE AU DÉBUT DE L’ANNÉE (1)</t>
  </si>
  <si>
    <t>RECETTES</t>
  </si>
  <si>
    <t>TOTAL DES RECETTES (2)</t>
  </si>
  <si>
    <t>INVESTISSEMENT</t>
  </si>
  <si>
    <t>Total investissement (3)</t>
  </si>
  <si>
    <t>ACHAT</t>
  </si>
  <si>
    <t>Total des achats (4)</t>
  </si>
  <si>
    <t>SERVICES EXTÉRIEURS ET AUTRES CHARGES</t>
  </si>
  <si>
    <t>Total des services extérieurs (5)</t>
  </si>
  <si>
    <t>Total Salaires et charges sociales (6)</t>
  </si>
  <si>
    <t>Total des impôts et taxes aux entreprises (6)</t>
  </si>
  <si>
    <t>Remboursement estimé des emprunts à court terme</t>
  </si>
  <si>
    <t>Frais d'intérêt- Concours bancaires</t>
  </si>
  <si>
    <t>Remboursement estimé des emprunts à long terme</t>
  </si>
  <si>
    <t>Frais d'intérêt - Emprunts à long terme</t>
  </si>
  <si>
    <t>Total des remboursements (7)</t>
  </si>
  <si>
    <t>Total des dépenses (8) = (3) + (4) + (5) + (6) + (7)</t>
  </si>
  <si>
    <t>Solde de fin de période (9) = (1)+(2)-(8)</t>
  </si>
  <si>
    <r>
      <t xml:space="preserve">7.3</t>
    </r>
    <r>
      <rPr>
        <rFont val="Arial"/>
        <b val="true"/>
        <i val="false"/>
        <strike val="false"/>
        <color rgb="FF000000"/>
        <sz val="7"/>
        <u val="none"/>
      </rPr>
      <t xml:space="preserve">   </t>
    </r>
    <r>
      <rPr>
        <rFont val="Arial"/>
        <b val="true"/>
        <i val="false"/>
        <strike val="false"/>
        <color rgb="FF000000"/>
        <sz val="12"/>
        <u val="none"/>
      </rPr>
      <t xml:space="preserve">Plan de Trésorerie annuelle</t>
    </r>
  </si>
  <si>
    <r>
      <t xml:space="preserve">7.4</t>
    </r>
    <r>
      <rPr>
        <rFont val="Arial"/>
        <b val="true"/>
        <i val="false"/>
        <strike val="false"/>
        <color rgb="FF000000"/>
        <sz val="7"/>
        <u val="none"/>
      </rPr>
      <t xml:space="preserve">   </t>
    </r>
    <r>
      <rPr>
        <rFont val="Arial"/>
        <b val="true"/>
        <i val="false"/>
        <strike val="false"/>
        <color rgb="FF000000"/>
        <sz val="12"/>
        <u val="none"/>
      </rPr>
      <t xml:space="preserve">Bilan annuel prévisionnel</t>
    </r>
  </si>
  <si>
    <t>Montant en FCFA</t>
  </si>
  <si>
    <t>Net</t>
  </si>
  <si>
    <t>Liens entre les feuilles de calcul</t>
  </si>
  <si>
    <t>FACTEURS DE VARIATION AMORTISSEMENT FINANCIER</t>
  </si>
  <si>
    <t>Variables financières</t>
  </si>
  <si>
    <t>Emprunt à long terme</t>
  </si>
  <si>
    <t>Montant</t>
  </si>
  <si>
    <t>Code financement</t>
  </si>
  <si>
    <t>EMP1</t>
  </si>
  <si>
    <t>EMP2</t>
  </si>
  <si>
    <t>EMP3</t>
  </si>
  <si>
    <t>Taux d'intérêt</t>
  </si>
  <si>
    <t>Nb de mois</t>
  </si>
  <si>
    <t xml:space="preserve">TOB </t>
  </si>
  <si>
    <t>Emprunt à court terme</t>
  </si>
  <si>
    <t>EMP4</t>
  </si>
  <si>
    <t>Apport initial (Compte courant)</t>
  </si>
  <si>
    <t>TABLEAU D'AMORTISSEMENT EMPRUNT A COURT TERME</t>
  </si>
  <si>
    <t xml:space="preserve">Emprunt </t>
  </si>
  <si>
    <t xml:space="preserve">Taux Annuel </t>
  </si>
  <si>
    <t xml:space="preserve">Taux effectif mensuel </t>
  </si>
  <si>
    <t>Durée</t>
  </si>
  <si>
    <t xml:space="preserve">Mois </t>
  </si>
  <si>
    <t>Capital restant</t>
  </si>
  <si>
    <t>INTERET</t>
  </si>
  <si>
    <t>TOB</t>
  </si>
  <si>
    <t>ANNEE</t>
  </si>
  <si>
    <t xml:space="preserve">DUREE </t>
  </si>
  <si>
    <t>ANS</t>
  </si>
  <si>
    <t>Année</t>
  </si>
  <si>
    <t xml:space="preserve">CAPITAL RESTANT DU </t>
  </si>
  <si>
    <t xml:space="preserve">Annuité </t>
  </si>
  <si>
    <t>N+5</t>
  </si>
  <si>
    <t>N+6</t>
  </si>
  <si>
    <t>TABLEAU D'AMORTISSEMENT APPORT INITIAL</t>
  </si>
  <si>
    <t>LISTE DES INVESTISSEMENTS</t>
  </si>
  <si>
    <t>Type d'immobilisation</t>
  </si>
  <si>
    <t>Dénomination</t>
  </si>
  <si>
    <t>CODE FINANCEMENT</t>
  </si>
  <si>
    <t>Immobilisations corporelles  bâtiment</t>
  </si>
  <si>
    <t>Aménagement et batiments</t>
  </si>
  <si>
    <t>Aménagement entrepôt</t>
  </si>
  <si>
    <t>Immobilisation corporelle véhicules</t>
  </si>
  <si>
    <t>Véhicules de liaison</t>
  </si>
  <si>
    <t>Véhicules de bureau</t>
  </si>
  <si>
    <t>Véhicule administratif</t>
  </si>
  <si>
    <t>Autres immobilisations corporelles matériel de travail</t>
  </si>
  <si>
    <t>Bureau (Fauteuil + table)</t>
  </si>
  <si>
    <t>Mobilier et matériel de bureau</t>
  </si>
  <si>
    <t>Ordinateur PRO</t>
  </si>
  <si>
    <t>Serveur</t>
  </si>
  <si>
    <t>CANON EOS 80 D + objectif 18-135mm IS USM</t>
  </si>
  <si>
    <t>Boîtier Canon EOS 5D Mark IV</t>
  </si>
  <si>
    <t>Photocopieuse + Imprimante</t>
  </si>
  <si>
    <t>Immobilisation incorporelles</t>
  </si>
  <si>
    <t>Caution et avance loyer</t>
  </si>
  <si>
    <t>Branchement Téléphone et internet</t>
  </si>
  <si>
    <t>Branchement CIE et SODECI</t>
  </si>
  <si>
    <t>Bail foncier</t>
  </si>
  <si>
    <t>FACTEURS DE VARIATION INVESTISSEMENT</t>
  </si>
  <si>
    <t>INVESTISSEMENTS</t>
  </si>
  <si>
    <t>Immobilisation</t>
  </si>
  <si>
    <t>LISTES DES VENTES</t>
  </si>
  <si>
    <t>CODE</t>
  </si>
  <si>
    <t>VEN1</t>
  </si>
  <si>
    <t>Ventes de produits fabriqués</t>
  </si>
  <si>
    <t>VEN2</t>
  </si>
  <si>
    <t>Vente de services</t>
  </si>
  <si>
    <t>VEN3</t>
  </si>
  <si>
    <t>Ventes d'autre produits</t>
  </si>
  <si>
    <t>VEN4</t>
  </si>
  <si>
    <t>FACTEURS DE VARIATION VENTES</t>
  </si>
  <si>
    <t>Ventes mensuelles</t>
  </si>
  <si>
    <t>Ventes Annuelles</t>
  </si>
  <si>
    <t>Produit</t>
  </si>
  <si>
    <t>VENTES</t>
  </si>
  <si>
    <t>LISTE DES CHARGES DIRECTES ET INDIRECTES</t>
  </si>
  <si>
    <t>Type de charges</t>
  </si>
  <si>
    <t xml:space="preserve">Quantité </t>
  </si>
  <si>
    <t>Achat de marchandises</t>
  </si>
  <si>
    <t>Achat de Tenue de luxe Homme</t>
  </si>
  <si>
    <t>AMA1</t>
  </si>
  <si>
    <t>Achat de Tenue de luxe Femme</t>
  </si>
  <si>
    <t>Achat de Prêt-à-porter homme</t>
  </si>
  <si>
    <t>Achat de Prêt-à-porter femme</t>
  </si>
  <si>
    <t>Achat de MP</t>
  </si>
  <si>
    <t>AMA2</t>
  </si>
  <si>
    <t>Main d'œuvre directe vente</t>
  </si>
  <si>
    <t>MOD1</t>
  </si>
  <si>
    <t>Main d'œuvre directe transformation</t>
  </si>
  <si>
    <t>MOD2</t>
  </si>
  <si>
    <t>Main d'œuvre directe vente de services</t>
  </si>
  <si>
    <t>MOD3</t>
  </si>
  <si>
    <t xml:space="preserve">Frais indirects de transformation </t>
  </si>
  <si>
    <t>FIF1</t>
  </si>
  <si>
    <t>Frais indirects de vente</t>
  </si>
  <si>
    <t>Logistique Tenue de luxe Homme</t>
  </si>
  <si>
    <t>FIF2</t>
  </si>
  <si>
    <t>Logistique Tenue de luxe Femme</t>
  </si>
  <si>
    <t>Logistique Prêt-à-porter homme</t>
  </si>
  <si>
    <t>Logistique Prêt-à-porter femme</t>
  </si>
  <si>
    <t>Stockage Tenue de luxe Homme</t>
  </si>
  <si>
    <t>Stockage Tenue de luxe Femme</t>
  </si>
  <si>
    <t>Stockage Prêt-à-porter homme</t>
  </si>
  <si>
    <t>Stockage Prêt-à-porter femme</t>
  </si>
  <si>
    <t>Commission MP Tenue de luxe Homme</t>
  </si>
  <si>
    <t>Commission MP Tenue de luxe Femme</t>
  </si>
  <si>
    <t>Commission MP Prêt-à-porter homme</t>
  </si>
  <si>
    <t>Commission MP Prêt-à-porter femme</t>
  </si>
  <si>
    <t>Frais indirects de vente de services</t>
  </si>
  <si>
    <t>FIF3</t>
  </si>
  <si>
    <t xml:space="preserve">Salaires et Avantages </t>
  </si>
  <si>
    <t>Salaire personnel</t>
  </si>
  <si>
    <t>SAV1</t>
  </si>
  <si>
    <t>Taxe et redevance</t>
  </si>
  <si>
    <t>Timbre</t>
  </si>
  <si>
    <t>TXR1</t>
  </si>
  <si>
    <t>Impôt sur les entreprises</t>
  </si>
  <si>
    <t>BIC</t>
  </si>
  <si>
    <t>IMP1</t>
  </si>
  <si>
    <t>Action commerciale</t>
  </si>
  <si>
    <t>Sponsoring page réseaux sociaux</t>
  </si>
  <si>
    <t>MKT1</t>
  </si>
  <si>
    <t xml:space="preserve">Frais Généraux </t>
  </si>
  <si>
    <t>Frais administration</t>
  </si>
  <si>
    <t>FG1</t>
  </si>
  <si>
    <t>Energie/Electricité/ Eau</t>
  </si>
  <si>
    <t>Eau</t>
  </si>
  <si>
    <t>EEE1</t>
  </si>
  <si>
    <t xml:space="preserve">Frais de transport </t>
  </si>
  <si>
    <t>Carburant</t>
  </si>
  <si>
    <t>FT1</t>
  </si>
  <si>
    <t>Frais de communication</t>
  </si>
  <si>
    <t>Telephone / Internet</t>
  </si>
  <si>
    <t>MKT2</t>
  </si>
  <si>
    <t xml:space="preserve">Publicité et Marketing </t>
  </si>
  <si>
    <t>FKT3</t>
  </si>
  <si>
    <t>Location</t>
  </si>
  <si>
    <t>Loyer</t>
  </si>
  <si>
    <t>LOC1</t>
  </si>
  <si>
    <t>Assurance</t>
  </si>
  <si>
    <t>Assurance voiture</t>
  </si>
  <si>
    <t>ASS1</t>
  </si>
  <si>
    <t xml:space="preserve">Prestations et Honoraires </t>
  </si>
  <si>
    <t>Frais Infogérance</t>
  </si>
  <si>
    <t>PH1</t>
  </si>
  <si>
    <t xml:space="preserve">Autres provisions </t>
  </si>
  <si>
    <t>APR1</t>
  </si>
  <si>
    <t>Amortissement Bureau</t>
  </si>
  <si>
    <t>AMR2</t>
  </si>
  <si>
    <t>Amortissement Exploitation</t>
  </si>
  <si>
    <t>Amortissement équipement.</t>
  </si>
  <si>
    <t>AMR1</t>
  </si>
  <si>
    <t>CHARGES INDIRECTES</t>
  </si>
  <si>
    <t>Charges mensuelles</t>
  </si>
  <si>
    <t>Charges annuelles</t>
  </si>
  <si>
    <t>Charge</t>
  </si>
  <si>
    <t>FACTEURS DE VARIATION CHARGES INDIRECTS</t>
  </si>
  <si>
    <t>TRESORERIE MENSUELLE</t>
  </si>
  <si>
    <t>SOLDE DE TRESORERIE AU DÉBUT DE PERIODE (1)</t>
  </si>
  <si>
    <t>Emprunt, subvention ou apport personnel obtenus</t>
  </si>
  <si>
    <t xml:space="preserve">CA global </t>
  </si>
  <si>
    <t>ACHAT ET CHARGES ASSIMILEES</t>
  </si>
  <si>
    <t>Total des achats et charges assimilées (4)</t>
  </si>
  <si>
    <t>SERVICES EXTERIEURS ET AUTRES CHARGES</t>
  </si>
  <si>
    <t>Services extérieurs</t>
  </si>
  <si>
    <t>Salaires et charges sociales</t>
  </si>
  <si>
    <t>Impôts et Taxes aux entreprises</t>
  </si>
  <si>
    <t>Total des services extérieurs et autres charges (6)</t>
  </si>
  <si>
    <t>SOLDE DE FIN DE PERIODE (9) = (1)+(2)-(8)</t>
  </si>
  <si>
    <t>COMPTE DE RESULTATS SYSCOHADA</t>
  </si>
  <si>
    <t>Compte de résultats</t>
  </si>
  <si>
    <t>Designation</t>
  </si>
  <si>
    <t>Total Chiffre d'Affaires</t>
  </si>
  <si>
    <t>Consommation intermédiaires</t>
  </si>
  <si>
    <t>Total consommation intermédiaires</t>
  </si>
  <si>
    <t>Marge brute</t>
  </si>
  <si>
    <t>Charges d'exploitation</t>
  </si>
  <si>
    <t>Total charges d'exploitation</t>
  </si>
  <si>
    <t>Résultat d'activité ordinaire</t>
  </si>
  <si>
    <t>Frais financier</t>
  </si>
  <si>
    <t>Résultat d'activité avant impôts</t>
  </si>
  <si>
    <t xml:space="preserve">Profit ou perte </t>
  </si>
  <si>
    <t>Cash-flow</t>
  </si>
  <si>
    <t>TRESORERIE ANNUELLE</t>
  </si>
  <si>
    <t>La formule n'avait pas été copiée sur n1 et n2</t>
  </si>
  <si>
    <t>VALEUR ACTUALISEE NETTE</t>
  </si>
  <si>
    <t xml:space="preserve">Année </t>
  </si>
  <si>
    <t>Financement</t>
  </si>
  <si>
    <t>CAF</t>
  </si>
  <si>
    <t>Total Cash Flow</t>
  </si>
  <si>
    <t xml:space="preserve">Valeur Actuelle </t>
  </si>
  <si>
    <t>VAN Cumulée</t>
  </si>
  <si>
    <t>Taux de rendement</t>
  </si>
  <si>
    <t>VAN</t>
  </si>
  <si>
    <t>TRI</t>
  </si>
  <si>
    <t>Délai de récupération</t>
  </si>
  <si>
    <t>Changé la référence à l'année</t>
  </si>
  <si>
    <t>BILAN</t>
  </si>
  <si>
    <t>Actif</t>
  </si>
  <si>
    <t>Actifs immobilisés</t>
  </si>
  <si>
    <t>Les amortissements de la période sont déduits du net de la période précedente.</t>
  </si>
  <si>
    <t>Actif circulant</t>
  </si>
  <si>
    <t>Passif</t>
  </si>
  <si>
    <t>Capitaux et résultat</t>
  </si>
  <si>
    <t>Résultat net</t>
  </si>
  <si>
    <t>Capital et avoir des actionnaires</t>
  </si>
  <si>
    <t>Report à nouveau</t>
  </si>
  <si>
    <t>Dettes financières</t>
  </si>
  <si>
    <t>Dettes à long terme</t>
  </si>
  <si>
    <t>Passif circulant</t>
  </si>
  <si>
    <t>COMPTE DE RESULTATS IFRS</t>
  </si>
  <si>
    <t>Total Revenu</t>
  </si>
  <si>
    <t>Coût des Marchandises et services vendue</t>
  </si>
  <si>
    <t>Taux de Marge brute</t>
  </si>
  <si>
    <t>EBITDA</t>
  </si>
  <si>
    <t>Taux d'EBITDA</t>
  </si>
  <si>
    <t>Amortissement et dépréciation</t>
  </si>
  <si>
    <t>EBIT</t>
  </si>
  <si>
    <t>Charges financières</t>
  </si>
  <si>
    <t>Total des charges</t>
  </si>
  <si>
    <t>Résultat av. Impôt</t>
  </si>
  <si>
    <t>AN1</t>
  </si>
  <si>
    <t>AN2</t>
  </si>
  <si>
    <t>AN3</t>
  </si>
  <si>
    <t>BESOIN EN FONDS DE ROULEMENT</t>
  </si>
  <si>
    <t>Type de financement</t>
  </si>
  <si>
    <t>TOTAL</t>
  </si>
</sst>
</file>

<file path=xl/styles.xml><?xml version="1.0" encoding="utf-8"?>
<styleSheet xmlns="http://schemas.openxmlformats.org/spreadsheetml/2006/main" xml:space="preserve">
  <numFmts count="2">
    <numFmt numFmtId="164" formatCode="_-* #,##0\ _€_-;\-* #,##0\ _€_-;_-* &quot;-&quot;??\ _€_-;_-@_-"/>
    <numFmt numFmtId="165" formatCode="#,##0.000"/>
  </numFmts>
  <fonts count="37">
    <font>
      <b val="0"/>
      <i val="0"/>
      <strike val="0"/>
      <u val="none"/>
      <sz val="11"/>
      <color rgb="FF000000"/>
      <name val="Calibri"/>
    </font>
    <font>
      <b val="0"/>
      <i val="0"/>
      <strike val="0"/>
      <u val="none"/>
      <sz val="10"/>
      <color rgb="FF000000"/>
      <name val="Arial"/>
    </font>
    <font>
      <b val="0"/>
      <i val="0"/>
      <strike val="0"/>
      <u val="none"/>
      <sz val="8"/>
      <color rgb="FF000000"/>
      <name val="Arial"/>
    </font>
    <font>
      <b val="0"/>
      <i val="0"/>
      <strike val="0"/>
      <u val="none"/>
      <sz val="8"/>
      <color rgb="FF000000"/>
      <name val="Century Gothic"/>
    </font>
    <font>
      <b val="1"/>
      <i val="1"/>
      <strike val="0"/>
      <u val="none"/>
      <sz val="8"/>
      <color rgb="FF000000"/>
      <name val="Times New Roman"/>
    </font>
    <font>
      <b val="1"/>
      <i val="0"/>
      <strike val="0"/>
      <u val="none"/>
      <sz val="8"/>
      <color rgb="FF000000"/>
      <name val="Arial"/>
    </font>
    <font>
      <b val="1"/>
      <i val="1"/>
      <strike val="0"/>
      <u val="none"/>
      <sz val="10"/>
      <color rgb="FF000000"/>
      <name val="Arial"/>
    </font>
    <font>
      <b val="1"/>
      <i val="0"/>
      <strike val="0"/>
      <u val="none"/>
      <sz val="10"/>
      <color rgb="FF000000"/>
      <name val="Arial"/>
    </font>
    <font>
      <b val="1"/>
      <i val="0"/>
      <strike val="0"/>
      <u val="none"/>
      <sz val="12"/>
      <color rgb="FF000000"/>
      <name val="Arial"/>
    </font>
    <font>
      <b val="1"/>
      <i val="1"/>
      <strike val="0"/>
      <u val="none"/>
      <sz val="10"/>
      <color rgb="FF000000"/>
      <name val="Times New Roman"/>
    </font>
    <font>
      <b val="1"/>
      <i val="0"/>
      <strike val="0"/>
      <u val="none"/>
      <sz val="10"/>
      <color rgb="FFFFFFFF"/>
      <name val="Arial Narrow"/>
    </font>
    <font>
      <b val="1"/>
      <i val="0"/>
      <strike val="0"/>
      <u val="none"/>
      <sz val="10"/>
      <color rgb="FF000000"/>
      <name val="Arial Narrow"/>
    </font>
    <font>
      <b val="0"/>
      <i val="0"/>
      <strike val="0"/>
      <u val="none"/>
      <sz val="10"/>
      <color rgb="FF000000"/>
      <name val="Arial Narrow"/>
    </font>
    <font>
      <b val="1"/>
      <i val="0"/>
      <strike val="0"/>
      <u val="none"/>
      <sz val="10"/>
      <color rgb="FFFFFFFF"/>
      <name val="Arial"/>
    </font>
    <font>
      <b val="1"/>
      <i val="0"/>
      <strike val="0"/>
      <u val="none"/>
      <sz val="10"/>
      <color rgb="FF0070C0"/>
      <name val="Arial"/>
    </font>
    <font>
      <b val="0"/>
      <i val="0"/>
      <strike val="0"/>
      <u val="none"/>
      <sz val="10"/>
      <color rgb="FF0070C0"/>
      <name val="Arial"/>
    </font>
    <font>
      <b val="1"/>
      <i val="0"/>
      <strike val="0"/>
      <u val="none"/>
      <sz val="11"/>
      <color rgb="FF000000"/>
      <name val="Arial"/>
    </font>
    <font>
      <b val="0"/>
      <i val="0"/>
      <strike val="0"/>
      <u val="none"/>
      <sz val="11"/>
      <color rgb="FF000000"/>
      <name val="Arial"/>
    </font>
    <font>
      <b val="1"/>
      <i val="1"/>
      <strike val="0"/>
      <u val="none"/>
      <sz val="10"/>
      <color rgb="FFC00000"/>
      <name val="Arial"/>
    </font>
    <font>
      <b val="1"/>
      <i val="0"/>
      <strike val="0"/>
      <u val="none"/>
      <sz val="11"/>
      <color rgb="FFFFFFFF"/>
      <name val="Arial"/>
    </font>
    <font>
      <b val="1"/>
      <i val="0"/>
      <strike val="0"/>
      <u val="none"/>
      <sz val="9"/>
      <color rgb="FF000000"/>
      <name val="Arial"/>
    </font>
    <font>
      <b val="1"/>
      <i val="0"/>
      <strike val="0"/>
      <u val="none"/>
      <sz val="10"/>
      <color rgb="FFFFC000"/>
      <name val="Arial"/>
    </font>
    <font>
      <b val="1"/>
      <i val="0"/>
      <strike val="0"/>
      <u val="none"/>
      <sz val="10"/>
      <color rgb="FF00B050"/>
      <name val="Arial"/>
    </font>
    <font>
      <b val="0"/>
      <i val="1"/>
      <strike val="0"/>
      <u val="none"/>
      <sz val="10"/>
      <color rgb="FF000000"/>
      <name val="Arial"/>
    </font>
    <font>
      <b val="0"/>
      <i val="0"/>
      <strike val="0"/>
      <u val="none"/>
      <sz val="9"/>
      <color rgb="FF000000"/>
      <name val="Arial"/>
    </font>
    <font>
      <b val="1"/>
      <i val="0"/>
      <strike val="0"/>
      <u val="none"/>
      <sz val="11"/>
      <color rgb="FF000000"/>
      <name val="Calibri"/>
    </font>
    <font>
      <b val="1"/>
      <i val="0"/>
      <strike val="0"/>
      <u val="none"/>
      <sz val="10"/>
      <color rgb="FF4472C4"/>
      <name val="Arial"/>
    </font>
    <font>
      <b val="0"/>
      <i val="0"/>
      <strike val="0"/>
      <u val="none"/>
      <sz val="10"/>
      <color rgb="FF4472C4"/>
      <name val="Arial"/>
    </font>
    <font>
      <b val="1"/>
      <i val="0"/>
      <strike val="0"/>
      <u val="none"/>
      <sz val="15"/>
      <color rgb="FF00B050"/>
      <name val="Arial"/>
    </font>
    <font>
      <b val="0"/>
      <i val="0"/>
      <strike val="0"/>
      <u val="none"/>
      <sz val="12"/>
      <color rgb="FF000000"/>
      <name val="Arial"/>
    </font>
    <font>
      <b val="0"/>
      <i val="0"/>
      <strike val="0"/>
      <u val="single"/>
      <sz val="10"/>
      <color rgb="FF0000FF"/>
      <name val="Arial"/>
    </font>
    <font>
      <b val="1"/>
      <i val="0"/>
      <strike val="1"/>
      <u val="none"/>
      <sz val="11"/>
      <color rgb="FFFF0000"/>
      <name val="Arial"/>
    </font>
    <font>
      <b val="1"/>
      <i val="1"/>
      <strike val="0"/>
      <u val="none"/>
      <sz val="9"/>
      <color rgb="FF000000"/>
      <name val="Arial"/>
    </font>
    <font>
      <b val="0"/>
      <i val="0"/>
      <strike val="0"/>
      <u val="none"/>
      <sz val="10"/>
      <color rgb="FFFFC000"/>
      <name val="Arial"/>
    </font>
    <font>
      <b val="1"/>
      <i val="0"/>
      <strike val="0"/>
      <u val="none"/>
      <sz val="14"/>
      <color rgb="FF000000"/>
      <name val="Arial"/>
    </font>
    <font>
      <b val="0"/>
      <i val="0"/>
      <strike val="0"/>
      <u val="none"/>
      <sz val="16"/>
      <color rgb="FF365F91"/>
      <name val="Arial"/>
    </font>
    <font>
      <b val="0"/>
      <i val="0"/>
      <strike val="0"/>
      <u val="none"/>
      <sz val="4"/>
      <color rgb="FF000000"/>
      <name val="Arial"/>
    </font>
  </fonts>
  <fills count="16">
    <fill>
      <patternFill patternType="none"/>
    </fill>
    <fill>
      <patternFill patternType="gray125"/>
    </fill>
    <fill>
      <patternFill patternType="solid">
        <fgColor rgb="FFFFFF00"/>
        <bgColor rgb="FFFFFFFF"/>
      </patternFill>
    </fill>
    <fill>
      <patternFill patternType="solid">
        <fgColor rgb="FFFFC000"/>
        <bgColor rgb="FFFFFFFF"/>
      </patternFill>
    </fill>
    <fill>
      <patternFill patternType="solid">
        <fgColor rgb="FF4F81BD"/>
        <bgColor rgb="FF000000"/>
      </patternFill>
    </fill>
    <fill>
      <patternFill patternType="solid">
        <fgColor rgb="FF1D70B7"/>
        <bgColor rgb="FFFFFFFF"/>
      </patternFill>
    </fill>
    <fill>
      <patternFill patternType="solid">
        <fgColor rgb="FFA5A5A5"/>
        <bgColor rgb="FFFFFFFF"/>
      </patternFill>
    </fill>
    <fill>
      <patternFill patternType="solid">
        <fgColor rgb="FF8EAADB"/>
        <bgColor rgb="FFFFFFFF"/>
      </patternFill>
    </fill>
    <fill>
      <patternFill patternType="solid">
        <fgColor rgb="FFBDD6EE"/>
        <bgColor rgb="FFFFFFFF"/>
      </patternFill>
    </fill>
    <fill>
      <patternFill patternType="solid">
        <fgColor rgb="FFF7CAAC"/>
        <bgColor rgb="FFFFFFFF"/>
      </patternFill>
    </fill>
    <fill>
      <patternFill patternType="solid">
        <fgColor rgb="FF000000"/>
        <bgColor rgb="FFFFFFFF"/>
      </patternFill>
    </fill>
    <fill>
      <patternFill patternType="solid">
        <fgColor rgb="FFBFBFBF"/>
        <bgColor rgb="FFFFFFFF"/>
      </patternFill>
    </fill>
    <fill>
      <patternFill patternType="solid">
        <fgColor rgb="FF00B050"/>
        <bgColor rgb="FFFFFFFF"/>
      </patternFill>
    </fill>
    <fill>
      <patternFill patternType="solid">
        <fgColor rgb="FFF2F2F2"/>
        <bgColor rgb="FFFFFFFF"/>
      </patternFill>
    </fill>
    <fill>
      <patternFill patternType="solid">
        <fgColor rgb="FFFFFFFF"/>
        <bgColor rgb="FFFFFFFF"/>
      </patternFill>
    </fill>
    <fill>
      <patternFill patternType="solid">
        <fgColor rgb="FFD8D8D8"/>
        <bgColor rgb="FFFFFFFF"/>
      </patternFill>
    </fill>
  </fills>
  <borders count="79">
    <border/>
    <border>
      <left style="thin">
        <color rgb="FF000000"/>
      </left>
      <right style="thin">
        <color rgb="FF000000"/>
      </right>
      <top style="thin">
        <color rgb="FF000000"/>
      </top>
      <bottom style="thin">
        <color rgb="FF000000"/>
      </bottom>
    </border>
    <border>
      <left style="thick">
        <color rgb="FF000000"/>
      </left>
      <top style="medium">
        <color rgb="FF000000"/>
      </top>
    </border>
    <border>
      <left style="thick">
        <color rgb="FF000000"/>
      </left>
      <top style="medium">
        <color rgb="FF000000"/>
      </top>
      <bottom style="medium">
        <color rgb="FF000000"/>
      </bottom>
    </border>
    <border>
      <top style="medium">
        <color rgb="FF000000"/>
      </top>
      <bottom style="medium">
        <color rgb="FF000000"/>
      </bottom>
    </border>
    <border>
      <right style="thick">
        <color rgb="FF000000"/>
      </right>
      <top style="medium">
        <color rgb="FF000000"/>
      </top>
      <bottom style="medium">
        <color rgb="FF000000"/>
      </bottom>
    </border>
    <border>
      <left style="thick">
        <color rgb="FF000000"/>
      </left>
      <right style="medium">
        <color rgb="FF000000"/>
      </right>
    </border>
    <border>
      <left style="thick">
        <color rgb="FF000000"/>
      </left>
      <right style="medium">
        <color rgb="FF000000"/>
      </right>
      <top style="medium">
        <color rgb="FF000000"/>
      </top>
    </border>
    <border>
      <left style="medium">
        <color rgb="FF000000"/>
      </left>
      <right style="medium">
        <color rgb="FF000000"/>
      </right>
      <top style="medium">
        <color rgb="FF000000"/>
      </top>
    </border>
    <border>
      <left style="medium">
        <color rgb="FF000000"/>
      </left>
      <right style="thick">
        <color rgb="FF000000"/>
      </right>
      <top style="medium">
        <color rgb="FF000000"/>
      </top>
    </border>
    <border>
      <left style="thick">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thick">
        <color rgb="FF000000"/>
      </right>
      <top style="medium">
        <color rgb="FF000000"/>
      </top>
      <bottom style="medium">
        <color rgb="FF000000"/>
      </bottom>
    </border>
    <border>
      <left style="thick">
        <color rgb="FF000000"/>
      </left>
      <right style="thick">
        <color rgb="FF000000"/>
      </right>
      <top style="medium">
        <color rgb="FF000000"/>
      </top>
      <bottom style="medium">
        <color rgb="FF000000"/>
      </bottom>
    </border>
    <border>
      <left style="thick">
        <color rgb="FF000000"/>
      </left>
      <bottom style="thin">
        <color rgb="FF000000"/>
      </bottom>
    </border>
    <border>
      <left style="thick">
        <color rgb="FF000000"/>
      </left>
      <right style="medium">
        <color rgb="FF000000"/>
      </right>
      <bottom style="thin">
        <color rgb="FF000000"/>
      </bottom>
    </border>
    <border>
      <left style="medium">
        <color rgb="FF000000"/>
      </left>
      <right style="medium">
        <color rgb="FF000000"/>
      </right>
      <bottom style="thin">
        <color rgb="FF000000"/>
      </bottom>
    </border>
    <border>
      <left style="medium">
        <color rgb="FF000000"/>
      </left>
      <right style="thick">
        <color rgb="FF000000"/>
      </right>
      <bottom style="thin">
        <color rgb="FF000000"/>
      </bottom>
    </border>
    <border>
      <left style="thick">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ck">
        <color rgb="FF000000"/>
      </right>
      <top style="thin">
        <color rgb="FF000000"/>
      </top>
      <bottom style="thin">
        <color rgb="FF000000"/>
      </bottom>
    </border>
    <border>
      <left style="thick">
        <color rgb="FF000000"/>
      </left>
      <top style="thin">
        <color rgb="FF000000"/>
      </top>
      <bottom style="thin">
        <color rgb="FF000000"/>
      </bottom>
    </border>
    <border>
      <left style="thick">
        <color rgb="FF000000"/>
      </left>
      <top style="mediumDashed">
        <color rgb="FF000000"/>
      </top>
      <bottom style="dotted">
        <color rgb="FF000000"/>
      </bottom>
    </border>
    <border>
      <left style="thick">
        <color rgb="FF000000"/>
      </left>
      <right style="medium">
        <color rgb="FF000000"/>
      </right>
      <top style="mediumDashed">
        <color rgb="FF000000"/>
      </top>
    </border>
    <border>
      <left style="medium">
        <color rgb="FF000000"/>
      </left>
      <right style="medium">
        <color rgb="FF000000"/>
      </right>
      <top style="mediumDashed">
        <color rgb="FF000000"/>
      </top>
    </border>
    <border>
      <left style="medium">
        <color rgb="FF000000"/>
      </left>
      <right style="medium">
        <color rgb="FF000000"/>
      </right>
      <top style="mediumDashed">
        <color rgb="FF000000"/>
      </top>
      <bottom style="dotted">
        <color rgb="FF000000"/>
      </bottom>
    </border>
    <border>
      <left style="medium">
        <color rgb="FF000000"/>
      </left>
      <right style="thick">
        <color rgb="FF000000"/>
      </right>
      <top style="mediumDashed">
        <color rgb="FF000000"/>
      </top>
    </border>
    <border>
      <left style="thick">
        <color rgb="FF000000"/>
      </left>
      <top style="dotted">
        <color rgb="FF000000"/>
      </top>
      <bottom style="thick">
        <color rgb="FF000000"/>
      </bottom>
    </border>
    <border>
      <left style="thick">
        <color rgb="FF000000"/>
      </left>
      <right style="medium">
        <color rgb="FF000000"/>
      </right>
      <top style="dotted">
        <color rgb="FF000000"/>
      </top>
      <bottom style="thick">
        <color rgb="FF000000"/>
      </bottom>
    </border>
    <border>
      <left style="medium">
        <color rgb="FF000000"/>
      </left>
      <right style="medium">
        <color rgb="FF000000"/>
      </right>
      <top style="dotted">
        <color rgb="FF000000"/>
      </top>
      <bottom style="thick">
        <color rgb="FF000000"/>
      </bottom>
    </border>
    <border>
      <left style="medium">
        <color rgb="FF000000"/>
      </left>
      <right style="thick">
        <color rgb="FF000000"/>
      </right>
      <top style="dotted">
        <color rgb="FF000000"/>
      </top>
      <bottom style="thick">
        <color rgb="FF000000"/>
      </bottom>
    </border>
    <border>
      <right style="thin">
        <color rgb="FFFFFFFF"/>
      </right>
      <top style="thin">
        <color rgb="FF000000"/>
      </top>
      <bottom style="thin">
        <color rgb="FFFFFFFF"/>
      </bottom>
    </border>
    <border>
      <left style="thin">
        <color rgb="FFFFFFFF"/>
      </left>
      <right style="thin">
        <color rgb="FFFFFFFF"/>
      </right>
      <top style="thin">
        <color rgb="FF000000"/>
      </top>
      <bottom style="thin">
        <color rgb="FFFFFFFF"/>
      </bottom>
    </border>
    <border>
      <left style="thin">
        <color rgb="FF000000"/>
      </left>
      <top style="thin">
        <color rgb="FF000000"/>
      </top>
      <bottom style="thin">
        <color rgb="FF000000"/>
      </bottom>
    </border>
    <border>
      <right style="thin">
        <color rgb="FFFFFFFF"/>
      </right>
      <top style="thin">
        <color rgb="FFFFFFFF"/>
      </top>
      <bottom style="thin">
        <color rgb="FF000000"/>
      </bottom>
    </border>
    <border>
      <left style="thin">
        <color rgb="FFFFFFFF"/>
      </left>
      <right style="thin">
        <color rgb="FFFFFFFF"/>
      </right>
      <top style="thin">
        <color rgb="FFFFFFFF"/>
      </top>
      <bottom style="thin">
        <color rgb="FF000000"/>
      </bottom>
    </border>
    <border>
      <right style="thin">
        <color rgb="FF000000"/>
      </right>
      <top style="thin">
        <color rgb="FF000000"/>
      </top>
      <bottom style="thin">
        <color rgb="FF000000"/>
      </bottom>
    </border>
    <border>
      <left style="thick">
        <color rgb="FF000000"/>
      </left>
    </border>
    <border>
      <left style="thick">
        <color rgb="FF000000"/>
      </left>
      <top style="mediumDashed">
        <color rgb="FF000000"/>
      </top>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ck">
        <color rgb="FF000000"/>
      </left>
      <bottom style="medium">
        <color rgb="FF000000"/>
      </bottom>
    </border>
    <border>
      <left style="thick">
        <color rgb="FF000000"/>
      </left>
      <right style="thick">
        <color rgb="FFFFFFFF"/>
      </right>
      <bottom style="thick">
        <color rgb="FF000000"/>
      </bottom>
    </border>
    <border>
      <right style="thick">
        <color rgb="FFFFFFFF"/>
      </right>
      <bottom style="thick">
        <color rgb="FF000000"/>
      </bottom>
    </border>
    <border>
      <right style="thick">
        <color rgb="FF000000"/>
      </right>
      <bottom style="thick">
        <color rgb="FF000000"/>
      </bottom>
    </border>
    <border>
      <left style="thick">
        <color rgb="FF000000"/>
      </left>
      <right style="thick">
        <color rgb="FF000000"/>
      </right>
      <bottom style="medium">
        <color rgb="FF000000"/>
      </bottom>
    </border>
    <border>
      <right style="thick">
        <color rgb="FF000000"/>
      </right>
      <bottom style="medium">
        <color rgb="FF000000"/>
      </bottom>
    </border>
    <border>
      <left style="thick">
        <color rgb="FF000000"/>
      </left>
      <right style="thick">
        <color rgb="FF000000"/>
      </right>
      <bottom style="thick">
        <color rgb="FF000000"/>
      </bottom>
    </border>
    <border>
      <left style="thick">
        <color rgb="FF000000"/>
      </left>
      <right style="thick">
        <color rgb="FF000000"/>
      </right>
      <top style="medium">
        <color rgb="FF000000"/>
      </top>
      <bottom style="thick">
        <color rgb="FF000000"/>
      </bottom>
    </border>
    <border>
      <right style="medium">
        <color rgb="FF000000"/>
      </right>
      <bottom style="medium">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bottom style="medium">
        <color rgb="FF000000"/>
      </bottom>
    </border>
    <border>
      <right style="medium">
        <color rgb="FF000000"/>
      </right>
    </border>
    <border>
      <left style="thick">
        <color rgb="FF000000"/>
      </left>
      <top style="thick">
        <color rgb="FF000000"/>
      </top>
    </border>
    <border>
      <top style="thick">
        <color rgb="FF000000"/>
      </top>
    </border>
    <border>
      <bottom style="medium">
        <color rgb="FF000000"/>
      </bottom>
    </border>
    <border>
      <left style="thick">
        <color rgb="FF000000"/>
      </left>
      <right style="medium">
        <color rgb="FF000000"/>
      </right>
      <bottom style="medium">
        <color rgb="FF000000"/>
      </bottom>
    </border>
    <border>
      <left style="thick">
        <color rgb="FF000000"/>
      </left>
      <right style="thick">
        <color rgb="FF000000"/>
      </right>
      <bottom style="dotted">
        <color rgb="FF000000"/>
      </bottom>
    </border>
    <border>
      <right style="medium">
        <color rgb="FF000000"/>
      </right>
      <bottom style="dotted">
        <color rgb="FF000000"/>
      </bottom>
    </border>
    <border>
      <right style="medium">
        <color rgb="FF000000"/>
      </right>
      <top style="dotted">
        <color rgb="FF000000"/>
      </top>
      <bottom style="thick">
        <color rgb="FF000000"/>
      </bottom>
    </border>
    <border>
      <right style="medium">
        <color rgb="FF000000"/>
      </right>
      <bottom style="thick">
        <color rgb="FF000000"/>
      </bottom>
    </border>
    <border>
      <right style="thick">
        <color rgb="FF000000"/>
      </right>
    </border>
    <border>
      <right style="thick">
        <color rgb="FF000000"/>
      </right>
      <top style="dotted">
        <color rgb="FF000000"/>
      </top>
      <bottom style="thick">
        <color rgb="FF000000"/>
      </bottom>
    </border>
    <border>
      <left style="thick">
        <color rgb="FF000000"/>
      </left>
      <right style="thick">
        <color rgb="FF000000"/>
      </right>
    </border>
    <border>
      <left style="thick">
        <color rgb="FF000000"/>
      </left>
      <right style="thick">
        <color rgb="FF000000"/>
      </right>
      <top style="dotted">
        <color rgb="FF000000"/>
      </top>
      <bottom style="thick">
        <color rgb="FF000000"/>
      </bottom>
    </border>
    <border>
      <top style="dashed">
        <color rgb="FF000000"/>
      </top>
      <bottom style="dashed">
        <color rgb="FF000000"/>
      </bottom>
    </border>
    <border>
      <right style="thick">
        <color rgb="FF000000"/>
      </right>
      <top style="dashed">
        <color rgb="FF000000"/>
      </top>
      <bottom style="dashed">
        <color rgb="FF000000"/>
      </bottom>
    </border>
    <border>
      <left style="thick">
        <color rgb="FF000000"/>
      </left>
      <top style="medium">
        <color rgb="FF000000"/>
      </top>
      <bottom style="thick">
        <color rgb="FF000000"/>
      </bottom>
    </border>
    <border>
      <top style="medium">
        <color rgb="FF000000"/>
      </top>
      <bottom style="thick">
        <color rgb="FF000000"/>
      </bottom>
    </border>
    <border>
      <right style="thick">
        <color rgb="FF000000"/>
      </right>
      <top style="medium">
        <color rgb="FF000000"/>
      </top>
      <bottom style="thick">
        <color rgb="FF000000"/>
      </bottom>
    </border>
    <border>
      <right style="thick">
        <color rgb="FF000000"/>
      </right>
      <top style="thick">
        <color rgb="FF000000"/>
      </top>
    </border>
    <border>
      <left style="thick">
        <color rgb="FF000000"/>
      </left>
      <bottom style="thick">
        <color rgb="FF000000"/>
      </bottom>
    </border>
    <border>
      <bottom style="thick">
        <color rgb="FF000000"/>
      </bottom>
    </border>
    <border>
      <top style="thick">
        <color rgb="FF000000"/>
      </top>
      <bottom style="dashed">
        <color rgb="FF000000"/>
      </bottom>
    </border>
    <border>
      <right style="thick">
        <color rgb="FF000000"/>
      </right>
      <top style="thick">
        <color rgb="FF000000"/>
      </top>
      <bottom style="dashed">
        <color rgb="FF000000"/>
      </bottom>
    </border>
  </borders>
  <cellStyleXfs count="1">
    <xf numFmtId="0" fontId="0" fillId="0" borderId="0"/>
  </cellStyleXfs>
  <cellXfs count="382">
    <xf xfId="0" fontId="0" numFmtId="0" fillId="0" borderId="0" applyFont="0" applyNumberFormat="0" applyFill="0" applyBorder="0" applyAlignment="0">
      <alignment horizontal="general" vertical="bottom" textRotation="0" wrapText="false" shrinkToFit="false"/>
    </xf>
    <xf xfId="0" fontId="1" numFmtId="3" fillId="0" borderId="0" applyFont="1" applyNumberFormat="1" applyFill="0" applyBorder="0" applyAlignment="0">
      <alignment horizontal="general" vertical="bottom" textRotation="0" wrapText="false" shrinkToFit="false"/>
    </xf>
    <xf xfId="0" fontId="0" numFmtId="3" fillId="0" borderId="0" applyFont="0" applyNumberFormat="1" applyFill="0" applyBorder="0" applyAlignment="0">
      <alignment horizontal="general" vertical="bottom" textRotation="0" wrapText="false" shrinkToFit="false"/>
    </xf>
    <xf xfId="0" fontId="2" numFmtId="0" fillId="0" borderId="1" applyFont="1" applyNumberFormat="0" applyFill="0" applyBorder="1" applyAlignment="0">
      <alignment horizontal="general" vertical="bottom" textRotation="0" wrapText="false" shrinkToFit="false"/>
    </xf>
    <xf xfId="0" fontId="2" numFmtId="164" fillId="0" borderId="1" applyFont="1" applyNumberFormat="1" applyFill="0" applyBorder="1" applyAlignment="1">
      <alignment horizontal="left" vertical="bottom" textRotation="0" wrapText="false" shrinkToFit="false"/>
    </xf>
    <xf xfId="0" fontId="3" numFmtId="164" fillId="0" borderId="1" applyFont="1" applyNumberFormat="1" applyFill="0" applyBorder="1" applyAlignment="0">
      <alignment horizontal="general" vertical="bottom" textRotation="0" wrapText="false" shrinkToFit="false"/>
    </xf>
    <xf xfId="0" fontId="4" numFmtId="0" fillId="0" borderId="1" applyFont="1" applyNumberFormat="0" applyFill="0" applyBorder="1" applyAlignment="1">
      <alignment horizontal="right" vertical="bottom" textRotation="0" wrapText="false" shrinkToFit="false"/>
    </xf>
    <xf xfId="0" fontId="2" numFmtId="9" fillId="0" borderId="1" applyFont="1" applyNumberFormat="1" applyFill="0" applyBorder="1" applyAlignment="1">
      <alignment horizontal="center" vertical="bottom" textRotation="0" wrapText="false" shrinkToFit="false"/>
    </xf>
    <xf xfId="0" fontId="2" numFmtId="9" fillId="0" borderId="1" applyFont="1" applyNumberFormat="1" applyFill="0" applyBorder="1" applyAlignment="1">
      <alignment horizontal="center" vertical="bottom" textRotation="0" wrapText="false" shrinkToFit="false"/>
    </xf>
    <xf xfId="0" fontId="2" numFmtId="3" fillId="0" borderId="1" applyFont="1" applyNumberFormat="1" applyFill="0" applyBorder="1" applyAlignment="1">
      <alignment horizontal="center" vertical="bottom" textRotation="0" wrapText="false" shrinkToFit="false"/>
    </xf>
    <xf xfId="0" fontId="5" numFmtId="0" fillId="0" borderId="1" applyFont="1" applyNumberFormat="0" applyFill="0" applyBorder="1" applyAlignment="1">
      <alignment horizontal="center" vertical="top" textRotation="0" wrapText="true" shrinkToFit="false"/>
    </xf>
    <xf xfId="0" fontId="5" numFmtId="0" fillId="0" borderId="1" applyFont="1" applyNumberFormat="0" applyFill="0" applyBorder="1" applyAlignment="1">
      <alignment horizontal="center" vertical="top" textRotation="0" wrapText="true" shrinkToFit="false"/>
    </xf>
    <xf xfId="0" fontId="2" numFmtId="0" fillId="0" borderId="1" applyFont="1" applyNumberFormat="0" applyFill="0" applyBorder="1" applyAlignment="1">
      <alignment horizontal="center" vertical="bottom" textRotation="0" wrapText="false" shrinkToFit="false"/>
    </xf>
    <xf xfId="0" fontId="2" numFmtId="164" fillId="0" borderId="1" applyFont="1" applyNumberFormat="1" applyFill="0" applyBorder="1" applyAlignment="0">
      <alignment horizontal="general" vertical="bottom" textRotation="0" wrapText="false" shrinkToFit="false"/>
    </xf>
    <xf xfId="0" fontId="1" numFmtId="0" fillId="0" borderId="1" applyFont="1" applyNumberFormat="0" applyFill="0" applyBorder="1" applyAlignment="0">
      <alignment horizontal="general" vertical="bottom" textRotation="0" wrapText="false" shrinkToFit="false"/>
    </xf>
    <xf xfId="0" fontId="6" numFmtId="0" fillId="0" borderId="1" applyFont="1" applyNumberFormat="0" applyFill="0" applyBorder="1" applyAlignment="1">
      <alignment horizontal="right" vertical="bottom" textRotation="0" wrapText="false" shrinkToFit="false"/>
    </xf>
    <xf xfId="0" fontId="1" numFmtId="10" fillId="0" borderId="1" applyFont="1" applyNumberFormat="1" applyFill="0" applyBorder="1" applyAlignment="1">
      <alignment horizontal="center" vertical="bottom" textRotation="0" wrapText="false" shrinkToFit="false"/>
    </xf>
    <xf xfId="0" fontId="1" numFmtId="9" fillId="0" borderId="1" applyFont="1" applyNumberFormat="1" applyFill="0" applyBorder="1" applyAlignment="1">
      <alignment horizontal="center" vertical="bottom" textRotation="0" wrapText="false" shrinkToFit="false"/>
    </xf>
    <xf xfId="0" fontId="1" numFmtId="1" fillId="0" borderId="1" applyFont="1" applyNumberFormat="1" applyFill="0" applyBorder="1" applyAlignment="1">
      <alignment horizontal="center" vertical="bottom" textRotation="0" wrapText="false" shrinkToFit="false"/>
    </xf>
    <xf xfId="0" fontId="1" numFmtId="164" fillId="0" borderId="1" applyFont="1" applyNumberFormat="1" applyFill="0" applyBorder="1" applyAlignment="1">
      <alignment horizontal="left" vertical="bottom" textRotation="0" wrapText="false" shrinkToFit="false"/>
    </xf>
    <xf xfId="0" fontId="1" numFmtId="9" fillId="0" borderId="1" applyFont="1" applyNumberFormat="1" applyFill="0" applyBorder="1" applyAlignment="1">
      <alignment horizontal="center" vertical="bottom" textRotation="0" wrapText="false" shrinkToFit="false"/>
    </xf>
    <xf xfId="0" fontId="7" numFmtId="0" fillId="0" borderId="1" applyFont="1" applyNumberFormat="0" applyFill="0" applyBorder="1" applyAlignment="1">
      <alignment horizontal="center" vertical="center" textRotation="0" wrapText="true" shrinkToFit="false"/>
    </xf>
    <xf xfId="0" fontId="1" numFmtId="3" fillId="0" borderId="1" applyFont="1" applyNumberFormat="1" applyFill="0" applyBorder="1" applyAlignment="0">
      <alignment horizontal="general" vertical="bottom" textRotation="0" wrapText="false" shrinkToFit="false"/>
    </xf>
    <xf xfId="0" fontId="2" numFmtId="0" fillId="0" borderId="1" applyFont="1" applyNumberFormat="0" applyFill="0" applyBorder="1" applyAlignment="1">
      <alignment horizontal="center" vertical="center" textRotation="0" wrapText="false" shrinkToFit="false"/>
    </xf>
    <xf xfId="0" fontId="1" numFmtId="0" fillId="0" borderId="0" applyFont="1" applyNumberFormat="0" applyFill="0" applyBorder="0" applyAlignment="0">
      <alignment horizontal="general" vertical="bottom" textRotation="0" wrapText="false" shrinkToFit="false"/>
    </xf>
    <xf xfId="0" fontId="7" numFmtId="0" fillId="0" borderId="0" applyFont="1" applyNumberFormat="0" applyFill="0" applyBorder="0" applyAlignment="0">
      <alignment horizontal="general" vertical="bottom" textRotation="0" wrapText="false" shrinkToFit="false"/>
    </xf>
    <xf xfId="0" fontId="1" numFmtId="0" fillId="0" borderId="1" applyFont="1" applyNumberFormat="0" applyFill="0" applyBorder="1" applyAlignment="0">
      <alignment horizontal="general" vertical="bottom" textRotation="0" wrapText="false" shrinkToFit="false"/>
    </xf>
    <xf xfId="0" fontId="7" numFmtId="0" fillId="0" borderId="1" applyFont="1" applyNumberFormat="0" applyFill="0" applyBorder="1" applyAlignment="0">
      <alignment horizontal="general" vertical="bottom" textRotation="0" wrapText="false" shrinkToFit="false"/>
    </xf>
    <xf xfId="0" fontId="1" numFmtId="0" fillId="0" borderId="1" applyFont="1" applyNumberFormat="0" applyFill="0" applyBorder="1" applyAlignment="1">
      <alignment horizontal="left" vertical="bottom" textRotation="0" wrapText="false" shrinkToFit="false" indent="2"/>
    </xf>
    <xf xfId="0" fontId="7" numFmtId="0" fillId="0" borderId="1" applyFont="1" applyNumberFormat="0" applyFill="0" applyBorder="1" applyAlignment="1">
      <alignment horizontal="left" vertical="bottom" textRotation="0" wrapText="false" shrinkToFit="false" indent="1"/>
    </xf>
    <xf xfId="0" fontId="1" numFmtId="0" fillId="0" borderId="0" applyFont="1" applyNumberFormat="0" applyFill="0" applyBorder="0" applyAlignment="1">
      <alignment horizontal="centerContinuous" vertical="bottom" textRotation="0" wrapText="false" shrinkToFit="false"/>
    </xf>
    <xf xfId="0" fontId="1" numFmtId="3" fillId="0" borderId="1" applyFont="1" applyNumberFormat="1" applyFill="0" applyBorder="1" applyAlignment="0">
      <alignment horizontal="general" vertical="bottom" textRotation="0" wrapText="false" shrinkToFit="false"/>
    </xf>
    <xf xfId="0" fontId="1" numFmtId="2" fillId="0" borderId="0" applyFont="1" applyNumberFormat="1" applyFill="0" applyBorder="0" applyAlignment="1">
      <alignment horizontal="centerContinuous" vertical="bottom" textRotation="0" wrapText="false" shrinkToFit="false"/>
    </xf>
    <xf xfId="0" fontId="7" numFmtId="3" fillId="0" borderId="1" applyFont="1" applyNumberFormat="1" applyFill="0" applyBorder="1" applyAlignment="0">
      <alignment horizontal="general" vertical="bottom" textRotation="0" wrapText="false" shrinkToFit="false"/>
    </xf>
    <xf xfId="0" fontId="7" numFmtId="3" fillId="0" borderId="1" applyFont="1" applyNumberFormat="1" applyFill="0" applyBorder="1" applyAlignment="0">
      <alignment horizontal="general" vertical="bottom" textRotation="0" wrapText="false" shrinkToFit="false"/>
    </xf>
    <xf xfId="0" fontId="1" numFmtId="0" fillId="2" borderId="1" applyFont="1" applyNumberFormat="0" applyFill="1" applyBorder="1" applyAlignment="0">
      <alignment horizontal="general" vertical="bottom" textRotation="0" wrapText="false" shrinkToFit="false"/>
    </xf>
    <xf xfId="0" fontId="1" numFmtId="0" fillId="2" borderId="1" applyFont="1" applyNumberFormat="0" applyFill="1" applyBorder="1" applyAlignment="1">
      <alignment horizontal="left" vertical="bottom" textRotation="0" wrapText="false" shrinkToFit="false" indent="2"/>
    </xf>
    <xf xfId="0" fontId="1" numFmtId="0" fillId="3" borderId="1" applyFont="1" applyNumberFormat="0" applyFill="1" applyBorder="1" applyAlignment="0">
      <alignment horizontal="general" vertical="bottom" textRotation="0" wrapText="false" shrinkToFit="false"/>
    </xf>
    <xf xfId="0" fontId="8" numFmtId="0" fillId="0" borderId="0" applyFont="1" applyNumberFormat="0" applyFill="0" applyBorder="0" applyAlignment="1">
      <alignment horizontal="centerContinuous" vertical="bottom" textRotation="0" wrapText="false" shrinkToFit="false"/>
    </xf>
    <xf xfId="0" fontId="8" numFmtId="3" fillId="0" borderId="0" applyFont="1" applyNumberFormat="1" applyFill="0" applyBorder="0" applyAlignment="1">
      <alignment horizontal="centerContinuous" vertical="bottom" textRotation="0" wrapText="false" shrinkToFit="false"/>
    </xf>
    <xf xfId="0" fontId="7" numFmtId="3" fillId="0" borderId="1" applyFont="1" applyNumberFormat="1" applyFill="0" applyBorder="1" applyAlignment="1">
      <alignment horizontal="right" vertical="bottom" textRotation="0" wrapText="false" shrinkToFit="false"/>
    </xf>
    <xf xfId="0" fontId="1" numFmtId="3" fillId="0" borderId="2" applyFont="1" applyNumberFormat="1" applyFill="0" applyBorder="1" applyAlignment="1">
      <alignment horizontal="general" vertical="top" textRotation="0" wrapText="true" shrinkToFit="false"/>
    </xf>
    <xf xfId="0" fontId="7" numFmtId="3" fillId="0" borderId="3" applyFont="1" applyNumberFormat="1" applyFill="0" applyBorder="1" applyAlignment="1">
      <alignment horizontal="centerContinuous" vertical="top" textRotation="0" wrapText="true" shrinkToFit="false"/>
    </xf>
    <xf xfId="0" fontId="7" numFmtId="3" fillId="0" borderId="4" applyFont="1" applyNumberFormat="1" applyFill="0" applyBorder="1" applyAlignment="1">
      <alignment horizontal="centerContinuous" vertical="top" textRotation="0" wrapText="true" shrinkToFit="false"/>
    </xf>
    <xf xfId="0" fontId="7" numFmtId="3" fillId="0" borderId="5" applyFont="1" applyNumberFormat="1" applyFill="0" applyBorder="1" applyAlignment="1">
      <alignment horizontal="centerContinuous" vertical="top" textRotation="0" wrapText="true" shrinkToFit="false"/>
    </xf>
    <xf xfId="0" fontId="9" numFmtId="0" fillId="0" borderId="6" applyFont="1" applyNumberFormat="0" applyFill="0" applyBorder="1" applyAlignment="1">
      <alignment horizontal="right" vertical="bottom" textRotation="0" wrapText="false" shrinkToFit="false"/>
    </xf>
    <xf xfId="0" fontId="7" quotePrefix="1" numFmtId="3" fillId="0" borderId="7" applyFont="1" applyNumberFormat="1" applyFill="0" applyBorder="1" applyAlignment="1">
      <alignment horizontal="center" vertical="center" textRotation="0" wrapText="true" shrinkToFit="false"/>
    </xf>
    <xf xfId="0" fontId="7" quotePrefix="1" numFmtId="3" fillId="0" borderId="8" applyFont="1" applyNumberFormat="1" applyFill="0" applyBorder="1" applyAlignment="1">
      <alignment horizontal="center" vertical="center" textRotation="0" wrapText="true" shrinkToFit="false"/>
    </xf>
    <xf xfId="0" fontId="7" quotePrefix="1" numFmtId="3" fillId="0" borderId="9" applyFont="1" applyNumberFormat="1" applyFill="0" applyBorder="1" applyAlignment="1">
      <alignment horizontal="center" vertical="center" textRotation="0" wrapText="true" shrinkToFit="false"/>
    </xf>
    <xf xfId="0" fontId="10" numFmtId="3" fillId="4" borderId="3" applyFont="1" applyNumberFormat="1" applyFill="1" applyBorder="1" applyAlignment="1">
      <alignment horizontal="general" vertical="center" textRotation="0" wrapText="true" shrinkToFit="false"/>
    </xf>
    <xf xfId="0" fontId="11" numFmtId="3" fillId="0" borderId="10" applyFont="1" applyNumberFormat="1" applyFill="0" applyBorder="1" applyAlignment="1">
      <alignment horizontal="general" vertical="center" textRotation="0" wrapText="true" shrinkToFit="false"/>
    </xf>
    <xf xfId="0" fontId="11" numFmtId="3" fillId="0" borderId="11" applyFont="1" applyNumberFormat="1" applyFill="0" applyBorder="1" applyAlignment="1">
      <alignment horizontal="general" vertical="center" textRotation="0" wrapText="true" shrinkToFit="false"/>
    </xf>
    <xf xfId="0" fontId="11" numFmtId="3" fillId="0" borderId="12" applyFont="1" applyNumberFormat="1" applyFill="0" applyBorder="1" applyAlignment="1">
      <alignment horizontal="general" vertical="center" textRotation="0" wrapText="true" shrinkToFit="false"/>
    </xf>
    <xf xfId="0" fontId="10" numFmtId="3" fillId="4" borderId="3" applyFont="1" applyNumberFormat="1" applyFill="1" applyBorder="1" applyAlignment="1">
      <alignment horizontal="general" vertical="top" textRotation="0" wrapText="true" shrinkToFit="false"/>
    </xf>
    <xf xfId="0" fontId="12" numFmtId="3" fillId="4" borderId="3" applyFont="1" applyNumberFormat="1" applyFill="1" applyBorder="1" applyAlignment="1">
      <alignment horizontal="general" vertical="top" textRotation="0" wrapText="true" shrinkToFit="false"/>
    </xf>
    <xf xfId="0" fontId="12" numFmtId="3" fillId="4" borderId="4" applyFont="1" applyNumberFormat="1" applyFill="1" applyBorder="1" applyAlignment="1">
      <alignment horizontal="general" vertical="top" textRotation="0" wrapText="true" shrinkToFit="false"/>
    </xf>
    <xf xfId="0" fontId="12" numFmtId="3" fillId="4" borderId="5" applyFont="1" applyNumberFormat="1" applyFill="1" applyBorder="1" applyAlignment="1">
      <alignment horizontal="general" vertical="top" textRotation="0" wrapText="true" shrinkToFit="false"/>
    </xf>
    <xf xfId="0" fontId="11" numFmtId="3" fillId="0" borderId="13" applyFont="1" applyNumberFormat="1" applyFill="0" applyBorder="1" applyAlignment="1">
      <alignment horizontal="general" vertical="top" textRotation="0" wrapText="true" shrinkToFit="false"/>
    </xf>
    <xf xfId="0" fontId="11" numFmtId="3" fillId="0" borderId="10" applyFont="1" applyNumberFormat="1" applyFill="0" applyBorder="1" applyAlignment="1">
      <alignment horizontal="general" vertical="top" textRotation="0" wrapText="true" shrinkToFit="false"/>
    </xf>
    <xf xfId="0" fontId="11" numFmtId="3" fillId="0" borderId="11" applyFont="1" applyNumberFormat="1" applyFill="0" applyBorder="1" applyAlignment="1">
      <alignment horizontal="general" vertical="top" textRotation="0" wrapText="true" shrinkToFit="false"/>
    </xf>
    <xf xfId="0" fontId="11" numFmtId="3" fillId="0" borderId="12" applyFont="1" applyNumberFormat="1" applyFill="0" applyBorder="1" applyAlignment="1">
      <alignment horizontal="general" vertical="top" textRotation="0" wrapText="true" shrinkToFit="false"/>
    </xf>
    <xf xfId="0" fontId="11" numFmtId="0" fillId="0" borderId="10" applyFont="1" applyNumberFormat="0" applyFill="0" applyBorder="1" applyAlignment="1">
      <alignment horizontal="left" vertical="top" textRotation="0" wrapText="true" shrinkToFit="false"/>
    </xf>
    <xf xfId="0" fontId="11" numFmtId="3" fillId="0" borderId="3" applyFont="1" applyNumberFormat="1" applyFill="0" applyBorder="1" applyAlignment="1">
      <alignment horizontal="general" vertical="top" textRotation="0" wrapText="true" shrinkToFit="false"/>
    </xf>
    <xf xfId="0" fontId="10" numFmtId="0" fillId="4" borderId="3" applyFont="1" applyNumberFormat="0" applyFill="1" applyBorder="1" applyAlignment="1">
      <alignment horizontal="left" vertical="top" textRotation="0" wrapText="true" shrinkToFit="false"/>
    </xf>
    <xf xfId="0" fontId="12" numFmtId="3" fillId="4" borderId="3" applyFont="1" applyNumberFormat="1" applyFill="1" applyBorder="1" applyAlignment="1">
      <alignment horizontal="right" vertical="top" textRotation="0" wrapText="true" shrinkToFit="false"/>
    </xf>
    <xf xfId="0" fontId="12" numFmtId="3" fillId="4" borderId="4" applyFont="1" applyNumberFormat="1" applyFill="1" applyBorder="1" applyAlignment="1">
      <alignment horizontal="right" vertical="top" textRotation="0" wrapText="true" shrinkToFit="false"/>
    </xf>
    <xf xfId="0" fontId="12" numFmtId="3" fillId="4" borderId="5" applyFont="1" applyNumberFormat="1" applyFill="1" applyBorder="1" applyAlignment="1">
      <alignment horizontal="right" vertical="top" textRotation="0" wrapText="true" shrinkToFit="false"/>
    </xf>
    <xf xfId="0" fontId="12" numFmtId="3" fillId="0" borderId="14" applyFont="1" applyNumberFormat="1" applyFill="0" applyBorder="1" applyAlignment="1">
      <alignment horizontal="general" vertical="top" textRotation="0" wrapText="true" shrinkToFit="false"/>
    </xf>
    <xf xfId="0" fontId="12" numFmtId="3" fillId="0" borderId="15" applyFont="1" applyNumberFormat="1" applyFill="0" applyBorder="1" applyAlignment="1">
      <alignment horizontal="general" vertical="top" textRotation="0" wrapText="true" shrinkToFit="false"/>
    </xf>
    <xf xfId="0" fontId="12" numFmtId="3" fillId="0" borderId="16" applyFont="1" applyNumberFormat="1" applyFill="0" applyBorder="1" applyAlignment="1">
      <alignment horizontal="general" vertical="top" textRotation="0" wrapText="true" shrinkToFit="false"/>
    </xf>
    <xf xfId="0" fontId="12" numFmtId="3" fillId="0" borderId="17" applyFont="1" applyNumberFormat="1" applyFill="0" applyBorder="1" applyAlignment="1">
      <alignment horizontal="general" vertical="top" textRotation="0" wrapText="true" shrinkToFit="false"/>
    </xf>
    <xf xfId="0" fontId="12" numFmtId="3" fillId="0" borderId="18" applyFont="1" applyNumberFormat="1" applyFill="0" applyBorder="1" applyAlignment="1">
      <alignment horizontal="general" vertical="top" textRotation="0" wrapText="true" shrinkToFit="false"/>
    </xf>
    <xf xfId="0" fontId="12" numFmtId="3" fillId="0" borderId="19" applyFont="1" applyNumberFormat="1" applyFill="0" applyBorder="1" applyAlignment="1">
      <alignment horizontal="general" vertical="top" textRotation="0" wrapText="true" shrinkToFit="false"/>
    </xf>
    <xf xfId="0" fontId="12" numFmtId="3" fillId="0" borderId="20" applyFont="1" applyNumberFormat="1" applyFill="0" applyBorder="1" applyAlignment="1">
      <alignment horizontal="general" vertical="top" textRotation="0" wrapText="true" shrinkToFit="false"/>
    </xf>
    <xf xfId="0" fontId="12" numFmtId="3" fillId="0" borderId="21" applyFont="1" applyNumberFormat="1" applyFill="0" applyBorder="1" applyAlignment="1">
      <alignment horizontal="general" vertical="top" textRotation="0" wrapText="true" shrinkToFit="false"/>
    </xf>
    <xf xfId="0" fontId="11" numFmtId="0" fillId="0" borderId="22" applyFont="1" applyNumberFormat="0" applyFill="0" applyBorder="1" applyAlignment="1">
      <alignment horizontal="left" vertical="top" textRotation="0" wrapText="false" shrinkToFit="false"/>
    </xf>
    <xf xfId="0" fontId="11" numFmtId="3" fillId="0" borderId="23" applyFont="1" applyNumberFormat="1" applyFill="0" applyBorder="1" applyAlignment="1">
      <alignment horizontal="right" vertical="top" textRotation="0" wrapText="false" shrinkToFit="false"/>
    </xf>
    <xf xfId="0" fontId="11" numFmtId="3" fillId="0" borderId="24" applyFont="1" applyNumberFormat="1" applyFill="0" applyBorder="1" applyAlignment="1">
      <alignment horizontal="right" vertical="top" textRotation="0" wrapText="false" shrinkToFit="false"/>
    </xf>
    <xf xfId="0" fontId="11" numFmtId="3" fillId="0" borderId="25" applyFont="1" applyNumberFormat="1" applyFill="0" applyBorder="1" applyAlignment="1">
      <alignment horizontal="right" vertical="top" textRotation="0" wrapText="false" shrinkToFit="false"/>
    </xf>
    <xf xfId="0" fontId="11" numFmtId="3" fillId="0" borderId="26" applyFont="1" applyNumberFormat="1" applyFill="0" applyBorder="1" applyAlignment="1">
      <alignment horizontal="right" vertical="top" textRotation="0" wrapText="false" shrinkToFit="false"/>
    </xf>
    <xf xfId="0" fontId="10" numFmtId="3" fillId="4" borderId="27" applyFont="1" applyNumberFormat="1" applyFill="1" applyBorder="1" applyAlignment="1">
      <alignment horizontal="general" vertical="top" textRotation="0" wrapText="true" shrinkToFit="false"/>
    </xf>
    <xf xfId="0" fontId="10" numFmtId="3" fillId="4" borderId="28" applyFont="1" applyNumberFormat="1" applyFill="1" applyBorder="1" applyAlignment="1">
      <alignment horizontal="general" vertical="center" textRotation="0" wrapText="true" shrinkToFit="false"/>
    </xf>
    <xf xfId="0" fontId="10" numFmtId="3" fillId="4" borderId="29" applyFont="1" applyNumberFormat="1" applyFill="1" applyBorder="1" applyAlignment="1">
      <alignment horizontal="general" vertical="center" textRotation="0" wrapText="true" shrinkToFit="false"/>
    </xf>
    <xf xfId="0" fontId="10" numFmtId="3" fillId="4" borderId="30" applyFont="1" applyNumberFormat="1" applyFill="1" applyBorder="1" applyAlignment="1">
      <alignment horizontal="general" vertical="center" textRotation="0" wrapText="true" shrinkToFit="false"/>
    </xf>
    <xf xfId="0" fontId="12" numFmtId="3" fillId="0" borderId="3" applyFont="1" applyNumberFormat="1" applyFill="0" applyBorder="1" applyAlignment="1">
      <alignment horizontal="general" vertical="top" textRotation="0" wrapText="true" shrinkToFit="false"/>
    </xf>
    <xf xfId="0" fontId="0" numFmtId="0" fillId="0" borderId="0" applyFont="0" applyNumberFormat="0" applyFill="0" applyBorder="0" applyAlignment="0">
      <alignment horizontal="general" vertical="bottom" textRotation="0" wrapText="false" shrinkToFit="false"/>
    </xf>
    <xf xfId="0" fontId="7" numFmtId="0" fillId="0" borderId="1" applyFont="1" applyNumberFormat="0" applyFill="0" applyBorder="1" applyAlignment="1">
      <alignment horizontal="right" vertical="bottom" textRotation="0" wrapText="false" shrinkToFit="false"/>
    </xf>
    <xf xfId="0" fontId="13" numFmtId="0" fillId="5" borderId="1" applyFont="1" applyNumberFormat="0" applyFill="1" applyBorder="1" applyAlignment="1">
      <alignment horizontal="center" vertical="bottom" textRotation="0" wrapText="false" shrinkToFit="false"/>
    </xf>
    <xf xfId="0" fontId="1" numFmtId="3" fillId="0" borderId="1" applyFont="1" applyNumberFormat="1" applyFill="0" applyBorder="1" applyAlignment="0">
      <alignment horizontal="general" vertical="bottom" textRotation="0" wrapText="false" shrinkToFit="false"/>
    </xf>
    <xf xfId="0" fontId="7" numFmtId="3" fillId="6" borderId="1" applyFont="1" applyNumberFormat="1" applyFill="1" applyBorder="1" applyAlignment="0">
      <alignment horizontal="general" vertical="bottom" textRotation="0" wrapText="false" shrinkToFit="false"/>
    </xf>
    <xf xfId="0" fontId="7" numFmtId="3" fillId="7" borderId="1" applyFont="1" applyNumberFormat="1" applyFill="1" applyBorder="1" applyAlignment="0">
      <alignment horizontal="general" vertical="bottom" textRotation="0" wrapText="false" shrinkToFit="false"/>
    </xf>
    <xf xfId="0" fontId="7" numFmtId="9" fillId="0" borderId="1" applyFont="1" applyNumberFormat="1" applyFill="0" applyBorder="1" applyAlignment="0">
      <alignment horizontal="general" vertical="bottom" textRotation="0" wrapText="false" shrinkToFit="false"/>
    </xf>
    <xf xfId="0" fontId="7" numFmtId="3" fillId="7" borderId="1" applyFont="1" applyNumberFormat="1" applyFill="1" applyBorder="1" applyAlignment="1">
      <alignment horizontal="right" vertical="bottom" textRotation="0" wrapText="false" shrinkToFit="false"/>
    </xf>
    <xf xfId="0" fontId="1" numFmtId="10" fillId="0" borderId="1" applyFont="1" applyNumberFormat="1" applyFill="0" applyBorder="1" applyAlignment="0">
      <alignment horizontal="general" vertical="bottom" textRotation="0" wrapText="false" shrinkToFit="false"/>
    </xf>
    <xf xfId="0" fontId="7" numFmtId="9" fillId="6" borderId="1" applyFont="1" applyNumberFormat="1" applyFill="1" applyBorder="1" applyAlignment="0">
      <alignment horizontal="general" vertical="bottom" textRotation="0" wrapText="false" shrinkToFit="false"/>
    </xf>
    <xf xfId="0" fontId="13" numFmtId="0" fillId="5" borderId="31" applyFont="1" applyNumberFormat="0" applyFill="1" applyBorder="1" applyAlignment="1">
      <alignment horizontal="center" vertical="bottom" textRotation="0" wrapText="false" shrinkToFit="false"/>
    </xf>
    <xf xfId="0" fontId="13" numFmtId="0" fillId="5" borderId="32" applyFont="1" applyNumberFormat="0" applyFill="1" applyBorder="1" applyAlignment="1">
      <alignment horizontal="center" vertical="bottom" textRotation="0" wrapText="false" shrinkToFit="false"/>
    </xf>
    <xf xfId="0" fontId="13" numFmtId="0" fillId="5" borderId="33" applyFont="1" applyNumberFormat="0" applyFill="1" applyBorder="1" applyAlignment="1">
      <alignment horizontal="center" vertical="bottom" textRotation="0" wrapText="false" shrinkToFit="false"/>
    </xf>
    <xf xfId="0" fontId="13" numFmtId="0" fillId="5" borderId="34" applyFont="1" applyNumberFormat="0" applyFill="1" applyBorder="1" applyAlignment="1">
      <alignment horizontal="center" vertical="bottom" textRotation="0" wrapText="false" shrinkToFit="false"/>
    </xf>
    <xf xfId="0" fontId="13" numFmtId="0" fillId="5" borderId="35" applyFont="1" applyNumberFormat="0" applyFill="1" applyBorder="1" applyAlignment="1">
      <alignment horizontal="center" vertical="bottom" textRotation="0" wrapText="false" shrinkToFit="false"/>
    </xf>
    <xf xfId="0" fontId="7" numFmtId="0" fillId="0" borderId="1" applyFont="1" applyNumberFormat="0" applyFill="0" applyBorder="1" applyAlignment="1">
      <alignment horizontal="center" vertical="center" textRotation="0" wrapText="false" shrinkToFit="false"/>
    </xf>
    <xf xfId="0" fontId="7" numFmtId="0" fillId="0" borderId="1" applyFont="1" applyNumberFormat="0" applyFill="0" applyBorder="1" applyAlignment="1">
      <alignment horizontal="general" vertical="center" textRotation="0" wrapText="false" shrinkToFit="false"/>
    </xf>
    <xf xfId="0" fontId="7" numFmtId="3" fillId="0" borderId="1" applyFont="1" applyNumberFormat="1" applyFill="0" applyBorder="1" applyAlignment="1">
      <alignment horizontal="general" vertical="center" textRotation="0" wrapText="false" shrinkToFit="false"/>
    </xf>
    <xf xfId="0" fontId="1" numFmtId="3" fillId="0" borderId="1" applyFont="1" applyNumberFormat="1" applyFill="0" applyBorder="1" applyAlignment="1">
      <alignment horizontal="general" vertical="center" textRotation="0" wrapText="false" shrinkToFit="false"/>
    </xf>
    <xf xfId="0" fontId="13" numFmtId="0" fillId="5" borderId="36" applyFont="1" applyNumberFormat="0" applyFill="1" applyBorder="1" applyAlignment="1">
      <alignment horizontal="center" vertical="bottom" textRotation="0" wrapText="false" shrinkToFit="false"/>
    </xf>
    <xf xfId="0" fontId="7" numFmtId="0" fillId="0" borderId="1" applyFont="1" applyNumberFormat="0" applyFill="0" applyBorder="1" applyAlignment="1">
      <alignment horizontal="general" vertical="center" textRotation="0" wrapText="true" shrinkToFit="false"/>
    </xf>
    <xf xfId="0" fontId="1" numFmtId="0" fillId="0" borderId="1" applyFont="1" applyNumberFormat="0" applyFill="0" applyBorder="1" applyAlignment="1">
      <alignment horizontal="general" vertical="center" textRotation="0" wrapText="true" shrinkToFit="false"/>
    </xf>
    <xf xfId="0" fontId="1" numFmtId="3" fillId="0" borderId="1" applyFont="1" applyNumberFormat="1" applyFill="0" applyBorder="1" applyAlignment="1">
      <alignment horizontal="right" vertical="bottom" textRotation="0" wrapText="false" shrinkToFit="false"/>
    </xf>
    <xf xfId="0" fontId="1" numFmtId="3" fillId="2" borderId="1" applyFont="1" applyNumberFormat="1" applyFill="1" applyBorder="1" applyAlignment="0">
      <alignment horizontal="general" vertical="bottom" textRotation="0" wrapText="false" shrinkToFit="false"/>
    </xf>
    <xf xfId="0" fontId="1" numFmtId="3" fillId="8" borderId="1" applyFont="1" applyNumberFormat="1" applyFill="1" applyBorder="1" applyAlignment="0">
      <alignment horizontal="general" vertical="bottom" textRotation="0" wrapText="false" shrinkToFit="false"/>
    </xf>
    <xf xfId="0" fontId="1" numFmtId="3" fillId="9" borderId="1" applyFont="1" applyNumberFormat="1" applyFill="1" applyBorder="1" applyAlignment="0">
      <alignment horizontal="general" vertical="bottom" textRotation="0" wrapText="false" shrinkToFit="false"/>
    </xf>
    <xf xfId="0" fontId="1" numFmtId="0" fillId="8" borderId="1" applyFont="1" applyNumberFormat="0" applyFill="1" applyBorder="1" applyAlignment="1">
      <alignment horizontal="left" vertical="bottom" textRotation="0" wrapText="false" shrinkToFit="false" indent="2"/>
    </xf>
    <xf xfId="0" fontId="1" numFmtId="0" fillId="9" borderId="1" applyFont="1" applyNumberFormat="0" applyFill="1" applyBorder="1" applyAlignment="1">
      <alignment horizontal="left" vertical="bottom" textRotation="0" wrapText="false" shrinkToFit="false" indent="2"/>
    </xf>
    <xf xfId="0" fontId="1" numFmtId="0" fillId="9" borderId="1" applyFont="1" applyNumberFormat="0" applyFill="1" applyBorder="1" applyAlignment="0">
      <alignment horizontal="general" vertical="bottom" textRotation="0" wrapText="false" shrinkToFit="false"/>
    </xf>
    <xf xfId="0" fontId="1" numFmtId="0" fillId="3" borderId="1" applyFont="1" applyNumberFormat="0" applyFill="1" applyBorder="1" applyAlignment="1">
      <alignment horizontal="left" vertical="bottom" textRotation="0" wrapText="false" shrinkToFit="false" indent="2"/>
    </xf>
    <xf xfId="0" fontId="1" numFmtId="0" fillId="3" borderId="1" applyFont="1" applyNumberFormat="0" applyFill="1" applyBorder="1" applyAlignment="0">
      <alignment horizontal="general" vertical="bottom" textRotation="0" wrapText="false" shrinkToFit="false"/>
    </xf>
    <xf xfId="0" fontId="14" numFmtId="0" fillId="0" borderId="1" applyFont="1" applyNumberFormat="0" applyFill="0" applyBorder="1" applyAlignment="0">
      <alignment horizontal="general" vertical="bottom" textRotation="0" wrapText="false" shrinkToFit="false"/>
    </xf>
    <xf xfId="0" fontId="15" numFmtId="0" fillId="0" borderId="1" applyFont="1" applyNumberFormat="0" applyFill="0" applyBorder="1" applyAlignment="0">
      <alignment horizontal="general" vertical="bottom" textRotation="0" wrapText="false" shrinkToFit="false"/>
    </xf>
    <xf xfId="0" fontId="15" numFmtId="3" fillId="0" borderId="1" applyFont="1" applyNumberFormat="1" applyFill="0" applyBorder="1" applyAlignment="0">
      <alignment horizontal="general" vertical="bottom" textRotation="0" wrapText="false" shrinkToFit="false"/>
    </xf>
    <xf xfId="0" fontId="15" numFmtId="3" fillId="0" borderId="0" applyFont="1" applyNumberFormat="1" applyFill="0" applyBorder="0" applyAlignment="0">
      <alignment horizontal="general" vertical="bottom" textRotation="0" wrapText="false" shrinkToFit="false"/>
    </xf>
    <xf xfId="0" fontId="15" numFmtId="0" fillId="0" borderId="1" applyFont="1" applyNumberFormat="0" applyFill="0" applyBorder="1" applyAlignment="1">
      <alignment horizontal="left" vertical="bottom" textRotation="0" wrapText="false" shrinkToFit="false" indent="2"/>
    </xf>
    <xf xfId="0" fontId="15" numFmtId="165" fillId="0" borderId="1" applyFont="1" applyNumberFormat="1" applyFill="0" applyBorder="1" applyAlignment="0">
      <alignment horizontal="general" vertical="bottom" textRotation="0" wrapText="false" shrinkToFit="false"/>
    </xf>
    <xf xfId="0" fontId="15" numFmtId="4" fillId="0" borderId="1" applyFont="1" applyNumberFormat="1" applyFill="0" applyBorder="1" applyAlignment="0">
      <alignment horizontal="general" vertical="bottom" textRotation="0" wrapText="false" shrinkToFit="false"/>
    </xf>
    <xf xfId="0" fontId="14" numFmtId="3" fillId="0" borderId="1" applyFont="1" applyNumberFormat="1" applyFill="0" applyBorder="1" applyAlignment="0">
      <alignment horizontal="general" vertical="bottom" textRotation="0" wrapText="false" shrinkToFit="false"/>
    </xf>
    <xf xfId="0" fontId="16" numFmtId="0" fillId="0" borderId="0" applyFont="1" applyNumberFormat="0" applyFill="0" applyBorder="0" applyAlignment="0">
      <alignment horizontal="general" vertical="bottom" textRotation="0" wrapText="false" shrinkToFit="false"/>
    </xf>
    <xf xfId="0" fontId="16" numFmtId="3" fillId="0" borderId="0" applyFont="1" applyNumberFormat="1" applyFill="0" applyBorder="0" applyAlignment="0">
      <alignment horizontal="general" vertical="bottom" textRotation="0" wrapText="false" shrinkToFit="false"/>
    </xf>
    <xf xfId="0" fontId="17" numFmtId="0" fillId="0" borderId="1" applyFont="1" applyNumberFormat="0" applyFill="0" applyBorder="1" applyAlignment="0">
      <alignment horizontal="general" vertical="bottom" textRotation="0" wrapText="false" shrinkToFit="false"/>
    </xf>
    <xf xfId="0" fontId="9" numFmtId="0" fillId="0" borderId="0" applyFont="1" applyNumberFormat="0" applyFill="0" applyBorder="0" applyAlignment="1">
      <alignment horizontal="right" vertical="bottom" textRotation="0" wrapText="false" shrinkToFit="false"/>
    </xf>
    <xf xfId="0" fontId="12" numFmtId="3" fillId="0" borderId="37" applyFont="1" applyNumberFormat="1" applyFill="0" applyBorder="1" applyAlignment="1">
      <alignment horizontal="general" vertical="top" textRotation="0" wrapText="true" shrinkToFit="false"/>
    </xf>
    <xf xfId="0" fontId="11" numFmtId="0" fillId="0" borderId="38" applyFont="1" applyNumberFormat="0" applyFill="0" applyBorder="1" applyAlignment="1">
      <alignment horizontal="left" vertical="top" textRotation="0" wrapText="false" shrinkToFit="false"/>
    </xf>
    <xf xfId="0" fontId="18" numFmtId="0" fillId="0" borderId="1" applyFont="1" applyNumberFormat="0" applyFill="0" applyBorder="1" applyAlignment="1">
      <alignment horizontal="left" vertical="bottom" textRotation="0" wrapText="false" shrinkToFit="false" indent="2"/>
    </xf>
    <xf xfId="0" fontId="18" numFmtId="9" fillId="0" borderId="1" applyFont="1" applyNumberFormat="1" applyFill="0" applyBorder="1" applyAlignment="0">
      <alignment horizontal="general" vertical="bottom" textRotation="0" wrapText="false" shrinkToFit="false"/>
    </xf>
    <xf xfId="0" fontId="19" numFmtId="0" fillId="10" borderId="39" applyFont="1" applyNumberFormat="0" applyFill="1" applyBorder="1" applyAlignment="1">
      <alignment horizontal="centerContinuous" vertical="bottom" textRotation="0" wrapText="false" shrinkToFit="false"/>
    </xf>
    <xf xfId="0" fontId="19" numFmtId="0" fillId="10" borderId="40" applyFont="1" applyNumberFormat="0" applyFill="1" applyBorder="1" applyAlignment="1">
      <alignment horizontal="centerContinuous" vertical="bottom" textRotation="0" wrapText="false" shrinkToFit="false"/>
    </xf>
    <xf xfId="0" fontId="19" numFmtId="0" fillId="10" borderId="41" applyFont="1" applyNumberFormat="0" applyFill="1" applyBorder="1" applyAlignment="1">
      <alignment horizontal="centerContinuous" vertical="bottom" textRotation="0" wrapText="false" shrinkToFit="false"/>
    </xf>
    <xf xfId="0" fontId="7" numFmtId="0" fillId="0" borderId="42" applyFont="1" applyNumberFormat="0" applyFill="0" applyBorder="1" applyAlignment="1" applyProtection="true">
      <alignment horizontal="general" vertical="center" textRotation="0" wrapText="false" shrinkToFit="false"/>
      <protection locked="false"/>
    </xf>
    <xf xfId="0" fontId="20" numFmtId="0" fillId="0" borderId="36" applyFont="1" applyNumberFormat="0" applyFill="0" applyBorder="1" applyAlignment="1" applyProtection="true">
      <alignment horizontal="general" vertical="bottom" textRotation="0" wrapText="true" shrinkToFit="false"/>
      <protection locked="false"/>
    </xf>
    <xf xfId="0" fontId="20" numFmtId="3" fillId="0" borderId="43" applyFont="1" applyNumberFormat="1" applyFill="0" applyBorder="1" applyAlignment="1" applyProtection="true">
      <alignment horizontal="general" vertical="bottom" textRotation="0" wrapText="true" shrinkToFit="false"/>
      <protection locked="false"/>
    </xf>
    <xf xfId="0" fontId="17" numFmtId="0" fillId="0" borderId="42" applyFont="1" applyNumberFormat="0" applyFill="0" applyBorder="1" applyAlignment="0" applyProtection="true">
      <alignment horizontal="general" vertical="bottom" textRotation="0" wrapText="false" shrinkToFit="false"/>
      <protection locked="false"/>
    </xf>
    <xf xfId="0" fontId="17" numFmtId="0" fillId="0" borderId="1" applyFont="1" applyNumberFormat="0" applyFill="0" applyBorder="1" applyAlignment="1" applyProtection="true">
      <alignment horizontal="general" vertical="center" textRotation="0" wrapText="false" shrinkToFit="false"/>
      <protection locked="false"/>
    </xf>
    <xf xfId="0" fontId="17" numFmtId="3" fillId="11" borderId="43" applyFont="1" applyNumberFormat="1" applyFill="1" applyBorder="1" applyAlignment="1" applyProtection="true">
      <alignment horizontal="general" vertical="center" textRotation="0" wrapText="false" shrinkToFit="false"/>
      <protection locked="false"/>
    </xf>
    <xf xfId="0" fontId="8" numFmtId="0" fillId="0" borderId="0" applyFont="1" applyNumberFormat="0" applyFill="0" applyBorder="0" applyAlignment="1">
      <alignment horizontal="center" vertical="center" textRotation="0" wrapText="false" shrinkToFit="false"/>
    </xf>
    <xf xfId="0" fontId="8" numFmtId="0" fillId="0" borderId="0" applyFont="1" applyNumberFormat="0" applyFill="0" applyBorder="0" applyAlignment="1">
      <alignment horizontal="general" vertical="center" textRotation="0" wrapText="false" shrinkToFit="false"/>
    </xf>
    <xf xfId="0" fontId="21" numFmtId="0" fillId="12" borderId="44" applyFont="1" applyNumberFormat="0" applyFill="1" applyBorder="1" applyAlignment="1" applyProtection="true">
      <alignment horizontal="general" vertical="center" textRotation="0" wrapText="false" shrinkToFit="false"/>
      <protection hidden="true"/>
    </xf>
    <xf xfId="0" fontId="21" numFmtId="0" fillId="12" borderId="45" applyFont="1" applyNumberFormat="0" applyFill="1" applyBorder="1" applyAlignment="1" applyProtection="true">
      <alignment horizontal="center" vertical="center" textRotation="0" wrapText="false" shrinkToFit="false"/>
      <protection hidden="true"/>
    </xf>
    <xf xfId="0" fontId="21" numFmtId="0" fillId="12" borderId="46" applyFont="1" applyNumberFormat="0" applyFill="1" applyBorder="1" applyAlignment="1" applyProtection="true">
      <alignment horizontal="center" vertical="center" textRotation="0" wrapText="false" shrinkToFit="false"/>
      <protection hidden="true"/>
    </xf>
    <xf xfId="0" fontId="21" numFmtId="0" fillId="12" borderId="47" applyFont="1" applyNumberFormat="0" applyFill="1" applyBorder="1" applyAlignment="1" applyProtection="true">
      <alignment horizontal="center" vertical="center" textRotation="0" wrapText="false" shrinkToFit="false"/>
      <protection hidden="true"/>
    </xf>
    <xf xfId="0" fontId="7" numFmtId="3" fillId="0" borderId="44" applyFont="1" applyNumberFormat="1" applyFill="0" applyBorder="1" applyAlignment="1" applyProtection="true">
      <alignment horizontal="general" vertical="center" textRotation="0" wrapText="false" shrinkToFit="false"/>
      <protection hidden="true"/>
    </xf>
    <xf xfId="0" fontId="7" numFmtId="3" fillId="0" borderId="48" applyFont="1" applyNumberFormat="1" applyFill="0" applyBorder="1" applyAlignment="1" applyProtection="true">
      <alignment horizontal="right" vertical="center" textRotation="0" wrapText="true" shrinkToFit="false"/>
      <protection hidden="true"/>
    </xf>
    <xf xfId="0" fontId="7" numFmtId="0" fillId="0" borderId="48" applyFont="1" applyNumberFormat="0" applyFill="0" applyBorder="1" applyAlignment="1" applyProtection="true">
      <alignment horizontal="general" vertical="center" textRotation="0" wrapText="true" shrinkToFit="false"/>
      <protection hidden="true"/>
    </xf>
    <xf xfId="0" fontId="1" numFmtId="3" fillId="0" borderId="49" applyFont="1" applyNumberFormat="1" applyFill="0" applyBorder="1" applyAlignment="1" applyProtection="true">
      <alignment horizontal="right" vertical="center" textRotation="0" wrapText="true" shrinkToFit="false"/>
      <protection hidden="true"/>
    </xf>
    <xf xfId="0" fontId="7" numFmtId="3" fillId="0" borderId="49" applyFont="1" applyNumberFormat="1" applyFill="0" applyBorder="1" applyAlignment="1" applyProtection="true">
      <alignment horizontal="right" vertical="center" textRotation="0" wrapText="false" shrinkToFit="false"/>
      <protection hidden="true"/>
    </xf>
    <xf xfId="0" fontId="7" numFmtId="0" fillId="0" borderId="49" applyFont="1" applyNumberFormat="0" applyFill="0" applyBorder="1" applyAlignment="1" applyProtection="true">
      <alignment horizontal="right" vertical="center" textRotation="0" wrapText="false" shrinkToFit="false"/>
      <protection hidden="true"/>
    </xf>
    <xf xfId="0" fontId="7" numFmtId="9" fillId="0" borderId="49" applyFont="1" applyNumberFormat="1" applyFill="0" applyBorder="1" applyAlignment="1" applyProtection="true">
      <alignment horizontal="right" vertical="center" textRotation="0" wrapText="false" shrinkToFit="false"/>
      <protection hidden="true"/>
    </xf>
    <xf xfId="0" fontId="7" numFmtId="1" fillId="0" borderId="49" applyFont="1" applyNumberFormat="1" applyFill="0" applyBorder="1" applyAlignment="1" applyProtection="true">
      <alignment horizontal="right" vertical="center" textRotation="0" wrapText="false" shrinkToFit="false"/>
      <protection hidden="true"/>
    </xf>
    <xf xfId="0" fontId="1" numFmtId="3" fillId="0" borderId="49" applyFont="1" applyNumberFormat="1" applyFill="0" applyBorder="1" applyAlignment="1" applyProtection="true">
      <alignment horizontal="right" vertical="center" textRotation="0" wrapText="false" shrinkToFit="false"/>
      <protection hidden="true"/>
    </xf>
    <xf xfId="0" fontId="7" numFmtId="3" fillId="0" borderId="49" applyFont="1" applyNumberFormat="1" applyFill="0" applyBorder="1" applyAlignment="1" applyProtection="true">
      <alignment horizontal="right" vertical="center" textRotation="0" wrapText="false" shrinkToFit="false"/>
      <protection hidden="true"/>
    </xf>
    <xf xfId="0" fontId="7" numFmtId="0" fillId="0" borderId="50" applyFont="1" applyNumberFormat="0" applyFill="0" applyBorder="1" applyAlignment="1" applyProtection="true">
      <alignment horizontal="general" vertical="center" textRotation="0" wrapText="true" shrinkToFit="false"/>
      <protection hidden="true"/>
    </xf>
    <xf xfId="0" fontId="22" numFmtId="10" fillId="0" borderId="51" applyFont="1" applyNumberFormat="1" applyFill="0" applyBorder="1" applyAlignment="1" applyProtection="true">
      <alignment horizontal="right" vertical="center" textRotation="0" wrapText="true" shrinkToFit="false"/>
      <protection hidden="true"/>
    </xf>
    <xf xfId="0" fontId="1" numFmtId="0" fillId="0" borderId="52" applyFont="1" applyNumberFormat="0" applyFill="0" applyBorder="1" applyAlignment="1" applyProtection="true">
      <alignment horizontal="general" vertical="center" textRotation="0" wrapText="false" shrinkToFit="false"/>
      <protection hidden="true"/>
    </xf>
    <xf xfId="0" fontId="7" numFmtId="9" fillId="0" borderId="52" applyFont="1" applyNumberFormat="1" applyFill="0" applyBorder="1" applyAlignment="1" applyProtection="true">
      <alignment horizontal="right" vertical="center" textRotation="0" wrapText="false" shrinkToFit="false"/>
      <protection hidden="true"/>
    </xf>
    <xf xfId="0" fontId="1" numFmtId="0" fillId="0" borderId="52" applyFont="1" applyNumberFormat="0" applyFill="0" applyBorder="1" applyAlignment="1" applyProtection="true">
      <alignment horizontal="right" vertical="center" textRotation="0" wrapText="false" shrinkToFit="false"/>
      <protection hidden="true"/>
    </xf>
    <xf xfId="0" fontId="7" numFmtId="0" fillId="0" borderId="52" applyFont="1" applyNumberFormat="0" applyFill="0" applyBorder="1" applyAlignment="1" applyProtection="true">
      <alignment horizontal="right" vertical="center" textRotation="0" wrapText="false" shrinkToFit="false"/>
      <protection hidden="true"/>
    </xf>
    <xf xfId="0" fontId="7" numFmtId="3" fillId="0" borderId="52" applyFont="1" applyNumberFormat="1" applyFill="0" applyBorder="1" applyAlignment="1" applyProtection="true">
      <alignment horizontal="general" vertical="center" textRotation="0" wrapText="false" shrinkToFit="false"/>
      <protection hidden="true"/>
    </xf>
    <xf xfId="0" fontId="7" numFmtId="3" fillId="0" borderId="52" applyFont="1" applyNumberFormat="1" applyFill="0" applyBorder="1" applyAlignment="1" applyProtection="true">
      <alignment horizontal="general" vertical="center" textRotation="0" wrapText="false" shrinkToFit="false"/>
      <protection hidden="true"/>
    </xf>
    <xf xfId="0" fontId="1" numFmtId="3" fillId="0" borderId="53" applyFont="1" applyNumberFormat="1" applyFill="0" applyBorder="1" applyAlignment="1" applyProtection="true">
      <alignment horizontal="general" vertical="center" textRotation="0" wrapText="false" shrinkToFit="false"/>
      <protection hidden="true"/>
    </xf>
    <xf xfId="0" fontId="1" numFmtId="3" fillId="0" borderId="4" applyFont="1" applyNumberFormat="1" applyFill="0" applyBorder="1" applyAlignment="1" applyProtection="true">
      <alignment horizontal="general" vertical="center" textRotation="0" wrapText="false" shrinkToFit="false"/>
      <protection hidden="true"/>
    </xf>
    <xf xfId="0" fontId="1" numFmtId="3" fillId="0" borderId="54" applyFont="1" applyNumberFormat="1" applyFill="0" applyBorder="1" applyAlignment="1" applyProtection="true">
      <alignment horizontal="general" vertical="center" textRotation="0" wrapText="false" shrinkToFit="false"/>
      <protection hidden="true"/>
    </xf>
    <xf xfId="0" fontId="1" numFmtId="4" fillId="0" borderId="52" applyFont="1" applyNumberFormat="1" applyFill="0" applyBorder="1" applyAlignment="1" applyProtection="true">
      <alignment horizontal="right" vertical="center" textRotation="0" wrapText="false" shrinkToFit="false"/>
      <protection hidden="true"/>
    </xf>
    <xf xfId="0" fontId="1" numFmtId="3" fillId="0" borderId="52" applyFont="1" applyNumberFormat="1" applyFill="0" applyBorder="1" applyAlignment="1" applyProtection="true">
      <alignment horizontal="right" vertical="center" textRotation="0" wrapText="false" shrinkToFit="false"/>
      <protection hidden="true"/>
    </xf>
    <xf xfId="0" fontId="7" numFmtId="3" fillId="0" borderId="53" applyFont="1" applyNumberFormat="1" applyFill="0" applyBorder="1" applyAlignment="1" applyProtection="true">
      <alignment horizontal="general" vertical="center" textRotation="0" wrapText="false" shrinkToFit="false"/>
      <protection hidden="true"/>
    </xf>
    <xf xfId="0" fontId="7" numFmtId="3" fillId="0" borderId="4" applyFont="1" applyNumberFormat="1" applyFill="0" applyBorder="1" applyAlignment="1" applyProtection="true">
      <alignment horizontal="general" vertical="center" textRotation="0" wrapText="false" shrinkToFit="false"/>
      <protection hidden="true"/>
    </xf>
    <xf xfId="0" fontId="7" numFmtId="3" fillId="0" borderId="54" applyFont="1" applyNumberFormat="1" applyFill="0" applyBorder="1" applyAlignment="1" applyProtection="true">
      <alignment horizontal="general" vertical="center" textRotation="0" wrapText="false" shrinkToFit="false"/>
      <protection hidden="true"/>
    </xf>
    <xf xfId="0" fontId="7" numFmtId="3" fillId="0" borderId="52" applyFont="1" applyNumberFormat="1" applyFill="0" applyBorder="1" applyAlignment="1" applyProtection="true">
      <alignment horizontal="right" vertical="center" textRotation="0" wrapText="false" shrinkToFit="false"/>
      <protection hidden="true"/>
    </xf>
    <xf xfId="0" fontId="21" numFmtId="0" fillId="12" borderId="11" applyFont="1" applyNumberFormat="0" applyFill="1" applyBorder="1" applyAlignment="1" applyProtection="true">
      <alignment horizontal="general" vertical="center" textRotation="0" wrapText="false" shrinkToFit="false"/>
      <protection hidden="true"/>
    </xf>
    <xf xfId="0" fontId="1" numFmtId="0" fillId="0" borderId="55" applyFont="1" applyNumberFormat="0" applyFill="0" applyBorder="1" applyAlignment="1" applyProtection="true">
      <alignment horizontal="general" vertical="center" textRotation="0" wrapText="false" shrinkToFit="false"/>
      <protection hidden="true"/>
    </xf>
    <xf xfId="0" fontId="23" numFmtId="0" fillId="0" borderId="55" applyFont="1" applyNumberFormat="0" applyFill="0" applyBorder="1" applyAlignment="1" applyProtection="true">
      <alignment horizontal="left" vertical="center" textRotation="0" wrapText="false" shrinkToFit="false" indent="1"/>
      <protection hidden="true"/>
    </xf>
    <xf xfId="0" fontId="1" numFmtId="0" fillId="0" borderId="52" applyFont="1" applyNumberFormat="0" applyFill="0" applyBorder="1" applyAlignment="1" applyProtection="true">
      <alignment horizontal="general" vertical="center" textRotation="0" wrapText="false" shrinkToFit="false"/>
      <protection hidden="true"/>
    </xf>
    <xf xfId="0" fontId="1" numFmtId="3" fillId="0" borderId="52" applyFont="1" applyNumberFormat="1" applyFill="0" applyBorder="1" applyAlignment="1" applyProtection="true">
      <alignment horizontal="right" vertical="center" textRotation="0" wrapText="false" shrinkToFit="false"/>
      <protection hidden="true"/>
    </xf>
    <xf xfId="0" fontId="1" numFmtId="9" fillId="0" borderId="52" applyFont="1" applyNumberFormat="1" applyFill="0" applyBorder="1" applyAlignment="1" applyProtection="true">
      <alignment horizontal="right" vertical="center" textRotation="0" wrapText="false" shrinkToFit="false"/>
      <protection hidden="true"/>
    </xf>
    <xf xfId="0" fontId="1" numFmtId="0" fillId="0" borderId="56" applyFont="1" applyNumberFormat="0" applyFill="0" applyBorder="1" applyAlignment="1" applyProtection="true">
      <alignment horizontal="general" vertical="center" textRotation="0" wrapText="false" shrinkToFit="false"/>
      <protection hidden="true"/>
    </xf>
    <xf xfId="0" fontId="23" numFmtId="0" fillId="0" borderId="11" applyFont="1" applyNumberFormat="0" applyFill="0" applyBorder="1" applyAlignment="1" applyProtection="true">
      <alignment horizontal="left" vertical="center" textRotation="0" wrapText="false" shrinkToFit="false" indent="1"/>
      <protection hidden="true"/>
    </xf>
    <xf xfId="0" fontId="1" numFmtId="3" fillId="0" borderId="54" applyFont="1" applyNumberFormat="1" applyFill="0" applyBorder="1" applyAlignment="1" applyProtection="true">
      <alignment horizontal="right" vertical="center" textRotation="0" wrapText="false" shrinkToFit="false"/>
      <protection hidden="true"/>
    </xf>
    <xf xfId="0" fontId="1" numFmtId="9" fillId="0" borderId="54" applyFont="1" applyNumberFormat="1" applyFill="0" applyBorder="1" applyAlignment="1" applyProtection="true">
      <alignment horizontal="right" vertical="center" textRotation="0" wrapText="false" shrinkToFit="false"/>
      <protection hidden="true"/>
    </xf>
    <xf xfId="0" fontId="1" numFmtId="0" fillId="0" borderId="11" applyFont="1" applyNumberFormat="0" applyFill="0" applyBorder="1" applyAlignment="1" applyProtection="true">
      <alignment horizontal="general" vertical="center" textRotation="0" wrapText="false" shrinkToFit="false"/>
      <protection hidden="true"/>
    </xf>
    <xf xfId="0" fontId="7" numFmtId="0" fillId="0" borderId="11" applyFont="1" applyNumberFormat="0" applyFill="0" applyBorder="1" applyAlignment="1" applyProtection="true">
      <alignment horizontal="general" vertical="center" textRotation="0" wrapText="false" shrinkToFit="false"/>
      <protection hidden="true"/>
    </xf>
    <xf xfId="0" fontId="7" numFmtId="3" fillId="0" borderId="54" applyFont="1" applyNumberFormat="1" applyFill="0" applyBorder="1" applyAlignment="1" applyProtection="true">
      <alignment horizontal="right" vertical="center" textRotation="0" wrapText="false" shrinkToFit="false"/>
      <protection hidden="true"/>
    </xf>
    <xf xfId="0" fontId="7" numFmtId="9" fillId="0" borderId="54" applyFont="1" applyNumberFormat="1" applyFill="0" applyBorder="1" applyAlignment="1" applyProtection="true">
      <alignment horizontal="right" vertical="center" textRotation="0" wrapText="false" shrinkToFit="false"/>
      <protection hidden="true"/>
    </xf>
    <xf xfId="0" fontId="7" numFmtId="0" fillId="0" borderId="55" applyFont="1" applyNumberFormat="0" applyFill="0" applyBorder="1" applyAlignment="1" applyProtection="true">
      <alignment horizontal="general" vertical="center" textRotation="0" wrapText="false" shrinkToFit="false"/>
      <protection hidden="true"/>
    </xf>
    <xf xfId="0" fontId="7" numFmtId="9" fillId="0" borderId="52" applyFont="1" applyNumberFormat="1" applyFill="0" applyBorder="1" applyAlignment="1" applyProtection="true">
      <alignment horizontal="right" vertical="center" textRotation="0" wrapText="false" shrinkToFit="false"/>
      <protection hidden="true"/>
    </xf>
    <xf xfId="0" fontId="7" numFmtId="9" fillId="0" borderId="52" applyFont="1" applyNumberFormat="1" applyFill="0" applyBorder="1" applyAlignment="1" applyProtection="true">
      <alignment horizontal="general" vertical="center" textRotation="0" wrapText="false" shrinkToFit="false"/>
      <protection hidden="true"/>
    </xf>
    <xf xfId="0" fontId="8" numFmtId="0" fillId="0" borderId="0" applyFont="1" applyNumberFormat="0" applyFill="0" applyBorder="0" applyAlignment="1" applyProtection="true">
      <alignment horizontal="left" vertical="center" textRotation="0" wrapText="false" shrinkToFit="false" indent="7"/>
      <protection hidden="true"/>
    </xf>
    <xf xfId="0" fontId="21" numFmtId="0" fillId="12" borderId="11" applyFont="1" applyNumberFormat="0" applyFill="1" applyBorder="1" applyAlignment="1" applyProtection="true">
      <alignment horizontal="general" vertical="center" textRotation="0" wrapText="true" shrinkToFit="false"/>
      <protection hidden="true"/>
    </xf>
    <xf xfId="0" fontId="1" numFmtId="0" fillId="0" borderId="55" applyFont="1" applyNumberFormat="0" applyFill="0" applyBorder="1" applyAlignment="1" applyProtection="true">
      <alignment horizontal="general" vertical="center" textRotation="0" wrapText="true" shrinkToFit="false"/>
      <protection hidden="true"/>
    </xf>
    <xf xfId="0" fontId="1" numFmtId="3" fillId="0" borderId="52" applyFont="1" applyNumberFormat="1" applyFill="0" applyBorder="1" applyAlignment="1" applyProtection="true">
      <alignment horizontal="right" vertical="center" textRotation="0" wrapText="true" shrinkToFit="false"/>
      <protection hidden="true"/>
    </xf>
    <xf xfId="0" fontId="7" numFmtId="0" fillId="0" borderId="55" applyFont="1" applyNumberFormat="0" applyFill="0" applyBorder="1" applyAlignment="1" applyProtection="true">
      <alignment horizontal="general" vertical="center" textRotation="0" wrapText="true" shrinkToFit="false"/>
      <protection hidden="true"/>
    </xf>
    <xf xfId="0" fontId="7" numFmtId="3" fillId="0" borderId="52" applyFont="1" applyNumberFormat="1" applyFill="0" applyBorder="1" applyAlignment="1" applyProtection="true">
      <alignment horizontal="right" vertical="center" textRotation="0" wrapText="true" shrinkToFit="false"/>
      <protection hidden="true"/>
    </xf>
    <xf xfId="0" fontId="21" numFmtId="0" fillId="12" borderId="54" applyFont="1" applyNumberFormat="0" applyFill="1" applyBorder="1" applyAlignment="1" applyProtection="true">
      <alignment horizontal="center" vertical="center" textRotation="0" wrapText="false" shrinkToFit="false"/>
      <protection hidden="true"/>
    </xf>
    <xf xfId="0" fontId="21" numFmtId="0" fillId="12" borderId="55" applyFont="1" applyNumberFormat="0" applyFill="1" applyBorder="1" applyAlignment="1" applyProtection="true">
      <alignment horizontal="center" vertical="center" textRotation="0" wrapText="false" shrinkToFit="false"/>
      <protection hidden="true"/>
    </xf>
    <xf xfId="0" fontId="1" numFmtId="0" fillId="0" borderId="11" applyFont="1" applyNumberFormat="0" applyFill="0" applyBorder="1" applyAlignment="1" applyProtection="true">
      <alignment horizontal="general" vertical="center" textRotation="0" wrapText="true" shrinkToFit="false"/>
      <protection hidden="true"/>
    </xf>
    <xf xfId="0" fontId="21" numFmtId="0" fillId="12" borderId="53" applyFont="1" applyNumberFormat="0" applyFill="1" applyBorder="1" applyAlignment="1" applyProtection="true">
      <alignment horizontal="general" vertical="center" textRotation="0" wrapText="true" shrinkToFit="false"/>
      <protection hidden="true"/>
    </xf>
    <xf xfId="0" fontId="21" numFmtId="0" fillId="12" borderId="4" applyFont="1" applyNumberFormat="0" applyFill="1" applyBorder="1" applyAlignment="1" applyProtection="true">
      <alignment horizontal="general" vertical="center" textRotation="0" wrapText="true" shrinkToFit="false"/>
      <protection hidden="true"/>
    </xf>
    <xf xfId="0" fontId="21" numFmtId="0" fillId="12" borderId="11" applyFont="1" applyNumberFormat="0" applyFill="1" applyBorder="1" applyAlignment="1" applyProtection="true">
      <alignment horizontal="center" vertical="center" textRotation="0" wrapText="true" shrinkToFit="false"/>
      <protection hidden="true"/>
    </xf>
    <xf xfId="0" fontId="7" numFmtId="3" fillId="0" borderId="11" applyFont="1" applyNumberFormat="1" applyFill="0" applyBorder="1" applyAlignment="1" applyProtection="true">
      <alignment horizontal="right" vertical="center" textRotation="0" wrapText="true" shrinkToFit="false"/>
      <protection hidden="true"/>
    </xf>
    <xf xfId="0" fontId="21" numFmtId="0" fillId="12" borderId="11" applyFont="1" applyNumberFormat="0" applyFill="1" applyBorder="1" applyAlignment="1" applyProtection="true">
      <alignment horizontal="right" vertical="center" textRotation="0" wrapText="true" shrinkToFit="false"/>
      <protection hidden="true"/>
    </xf>
    <xf xfId="0" fontId="1" numFmtId="0" fillId="0" borderId="55" applyFont="1" applyNumberFormat="0" applyFill="0" applyBorder="1" applyAlignment="1" applyProtection="true">
      <alignment horizontal="right" vertical="center" textRotation="0" wrapText="true" shrinkToFit="false"/>
      <protection hidden="true"/>
    </xf>
    <xf xfId="0" fontId="1" numFmtId="3" fillId="0" borderId="52" applyFont="1" applyNumberFormat="1" applyFill="0" applyBorder="1" applyAlignment="1" applyProtection="true">
      <alignment horizontal="right" vertical="center" textRotation="0" wrapText="true" shrinkToFit="false"/>
      <protection hidden="true"/>
    </xf>
    <xf xfId="0" fontId="7" numFmtId="0" fillId="0" borderId="55" applyFont="1" applyNumberFormat="0" applyFill="0" applyBorder="1" applyAlignment="1" applyProtection="true">
      <alignment horizontal="right" vertical="center" textRotation="0" wrapText="true" shrinkToFit="false"/>
      <protection hidden="true"/>
    </xf>
    <xf xfId="0" fontId="7" numFmtId="3" fillId="0" borderId="52" applyFont="1" applyNumberFormat="1" applyFill="0" applyBorder="1" applyAlignment="1" applyProtection="true">
      <alignment horizontal="right" vertical="center" textRotation="0" wrapText="true" shrinkToFit="false"/>
      <protection hidden="true"/>
    </xf>
    <xf xfId="0" fontId="21" numFmtId="0" fillId="12" borderId="54" applyFont="1" applyNumberFormat="0" applyFill="1" applyBorder="1" applyAlignment="1" applyProtection="true">
      <alignment horizontal="center" vertical="center" textRotation="0" wrapText="true" shrinkToFit="false"/>
      <protection hidden="true"/>
    </xf>
    <xf xfId="0" fontId="21" numFmtId="0" fillId="12" borderId="52" applyFont="1" applyNumberFormat="0" applyFill="1" applyBorder="1" applyAlignment="1" applyProtection="true">
      <alignment horizontal="justify" vertical="center" textRotation="0" wrapText="true" shrinkToFit="false"/>
      <protection hidden="true"/>
    </xf>
    <xf xfId="0" fontId="21" numFmtId="0" fillId="12" borderId="11" applyFont="1" applyNumberFormat="0" applyFill="1" applyBorder="1" applyAlignment="1" applyProtection="true">
      <alignment horizontal="justify" vertical="center" textRotation="0" wrapText="true" shrinkToFit="false"/>
      <protection hidden="true"/>
    </xf>
    <xf xfId="0" fontId="21" numFmtId="0" fillId="12" borderId="54" applyFont="1" applyNumberFormat="0" applyFill="1" applyBorder="1" applyAlignment="1" applyProtection="true">
      <alignment horizontal="justify" vertical="center" textRotation="0" wrapText="true" shrinkToFit="false"/>
      <protection hidden="true"/>
    </xf>
    <xf xfId="0" fontId="1" numFmtId="3" fillId="0" borderId="55" applyFont="1" applyNumberFormat="1" applyFill="0" applyBorder="1" applyAlignment="1" applyProtection="true">
      <alignment horizontal="center" vertical="center" textRotation="0" wrapText="false" shrinkToFit="false"/>
      <protection hidden="true"/>
    </xf>
    <xf xfId="0" fontId="1" numFmtId="3" fillId="0" borderId="55" applyFont="1" applyNumberFormat="1" applyFill="0" applyBorder="1" applyAlignment="1" applyProtection="true">
      <alignment horizontal="right" vertical="center" textRotation="0" wrapText="false" shrinkToFit="false"/>
      <protection hidden="true"/>
    </xf>
    <xf xfId="0" fontId="1" numFmtId="0" fillId="0" borderId="55" applyFont="1" applyNumberFormat="0" applyFill="0" applyBorder="1" applyAlignment="1" applyProtection="true">
      <alignment horizontal="center" vertical="center" textRotation="0" wrapText="false" shrinkToFit="false"/>
      <protection hidden="true"/>
    </xf>
    <xf xfId="0" fontId="1" numFmtId="0" fillId="0" borderId="0" applyFont="1" applyNumberFormat="0" applyFill="0" applyBorder="0" applyAlignment="1" applyProtection="true">
      <alignment horizontal="center" vertical="center" textRotation="0" wrapText="false" shrinkToFit="false"/>
      <protection hidden="true"/>
    </xf>
    <xf xfId="0" fontId="1" numFmtId="3" fillId="0" borderId="0" applyFont="1" applyNumberFormat="1" applyFill="0" applyBorder="0" applyAlignment="1" applyProtection="true">
      <alignment horizontal="right" vertical="center" textRotation="0" wrapText="false" shrinkToFit="false"/>
      <protection hidden="true"/>
    </xf>
    <xf xfId="0" fontId="1" numFmtId="3" fillId="0" borderId="11" applyFont="1" applyNumberFormat="1" applyFill="0" applyBorder="1" applyAlignment="1" applyProtection="true">
      <alignment horizontal="right" vertical="center" textRotation="0" wrapText="true" shrinkToFit="false"/>
      <protection hidden="true"/>
    </xf>
    <xf xfId="0" fontId="24" numFmtId="0" fillId="0" borderId="2" applyFont="1" applyNumberFormat="0" applyFill="0" applyBorder="1" applyAlignment="1" applyProtection="true">
      <alignment horizontal="general" vertical="center" textRotation="0" wrapText="true" shrinkToFit="false"/>
      <protection hidden="true"/>
    </xf>
    <xf xfId="0" fontId="20" numFmtId="0" fillId="0" borderId="3" applyFont="1" applyNumberFormat="0" applyFill="0" applyBorder="1" applyAlignment="1" applyProtection="true">
      <alignment horizontal="general" vertical="center" textRotation="0" wrapText="true" shrinkToFit="false"/>
      <protection hidden="true"/>
    </xf>
    <xf xfId="0" fontId="20" numFmtId="0" fillId="0" borderId="4" applyFont="1" applyNumberFormat="0" applyFill="0" applyBorder="1" applyAlignment="1" applyProtection="true">
      <alignment horizontal="general" vertical="center" textRotation="0" wrapText="true" shrinkToFit="false"/>
      <protection hidden="true"/>
    </xf>
    <xf xfId="0" fontId="20" numFmtId="0" fillId="0" borderId="54" applyFont="1" applyNumberFormat="0" applyFill="0" applyBorder="1" applyAlignment="1" applyProtection="true">
      <alignment horizontal="general" vertical="center" textRotation="0" wrapText="true" shrinkToFit="false"/>
      <protection hidden="true"/>
    </xf>
    <xf xfId="0" fontId="20" numFmtId="0" fillId="0" borderId="10" applyFont="1" applyNumberFormat="0" applyFill="0" applyBorder="1" applyAlignment="1" applyProtection="true">
      <alignment horizontal="general" vertical="center" textRotation="0" wrapText="true" shrinkToFit="false"/>
      <protection hidden="true"/>
    </xf>
    <xf xfId="0" fontId="20" numFmtId="0" fillId="0" borderId="56" applyFont="1" applyNumberFormat="0" applyFill="0" applyBorder="1" applyAlignment="1" applyProtection="true">
      <alignment horizontal="general" vertical="center" textRotation="0" wrapText="true" shrinkToFit="false"/>
      <protection hidden="true"/>
    </xf>
    <xf xfId="0" fontId="20" numFmtId="0" fillId="0" borderId="56" applyFont="1" applyNumberFormat="0" applyFill="0" applyBorder="1" applyAlignment="1" applyProtection="true">
      <alignment horizontal="general" vertical="center" textRotation="0" wrapText="true" shrinkToFit="false"/>
      <protection hidden="true"/>
    </xf>
    <xf xfId="0" fontId="7" numFmtId="0" fillId="0" borderId="48" applyFont="1" applyNumberFormat="0" applyFill="0" applyBorder="1" applyAlignment="1" applyProtection="true">
      <alignment horizontal="general" vertical="center" textRotation="0" wrapText="true" shrinkToFit="false"/>
      <protection hidden="true"/>
    </xf>
    <xf xfId="0" fontId="20" numFmtId="0" fillId="0" borderId="5" applyFont="1" applyNumberFormat="0" applyFill="0" applyBorder="1" applyAlignment="1" applyProtection="true">
      <alignment horizontal="general" vertical="center" textRotation="0" wrapText="true" shrinkToFit="false"/>
      <protection hidden="true"/>
    </xf>
    <xf xfId="0" fontId="20" numFmtId="0" fillId="0" borderId="12" applyFont="1" applyNumberFormat="0" applyFill="0" applyBorder="1" applyAlignment="1" applyProtection="true">
      <alignment horizontal="general" vertical="center" textRotation="0" wrapText="true" shrinkToFit="false"/>
      <protection hidden="true"/>
    </xf>
    <xf xfId="0" fontId="16" numFmtId="0" fillId="0" borderId="1" applyFont="1" applyNumberFormat="0" applyFill="0" applyBorder="1" applyAlignment="0">
      <alignment horizontal="general" vertical="bottom" textRotation="0" wrapText="false" shrinkToFit="false"/>
    </xf>
    <xf xfId="0" fontId="25" numFmtId="0" fillId="0" borderId="0" applyFont="1" applyNumberFormat="0" applyFill="0" applyBorder="0" applyAlignment="0">
      <alignment horizontal="general" vertical="bottom" textRotation="0" wrapText="false" shrinkToFit="false"/>
    </xf>
    <xf xfId="0" fontId="26" numFmtId="0" fillId="0" borderId="1" applyFont="1" applyNumberFormat="0" applyFill="0" applyBorder="1" applyAlignment="0">
      <alignment horizontal="general" vertical="bottom" textRotation="0" wrapText="false" shrinkToFit="false"/>
    </xf>
    <xf xfId="0" fontId="27" numFmtId="0" fillId="0" borderId="1" applyFont="1" applyNumberFormat="0" applyFill="0" applyBorder="1" applyAlignment="0">
      <alignment horizontal="general" vertical="bottom" textRotation="0" wrapText="false" shrinkToFit="false"/>
    </xf>
    <xf xfId="0" fontId="26" numFmtId="0" fillId="0" borderId="1" applyFont="1" applyNumberFormat="0" applyFill="0" applyBorder="1" applyAlignment="1">
      <alignment horizontal="right" vertical="bottom" textRotation="0" wrapText="false" shrinkToFit="false"/>
    </xf>
    <xf xfId="0" fontId="1" numFmtId="3" fillId="0" borderId="0" applyFont="1" applyNumberFormat="1" applyFill="0" applyBorder="0" applyAlignment="1">
      <alignment horizontal="right" vertical="center" textRotation="0" wrapText="false" shrinkToFit="false"/>
    </xf>
    <xf xfId="0" fontId="15" numFmtId="3" fillId="0" borderId="0" applyFont="1" applyNumberFormat="1" applyFill="0" applyBorder="0" applyAlignment="1">
      <alignment horizontal="right" vertical="center" textRotation="0" wrapText="false" shrinkToFit="false"/>
    </xf>
    <xf xfId="0" fontId="15" numFmtId="9" fillId="0" borderId="0" applyFont="1" applyNumberFormat="1" applyFill="0" applyBorder="0" applyAlignment="1">
      <alignment horizontal="right" vertical="center" textRotation="0" wrapText="false" shrinkToFit="false"/>
    </xf>
    <xf xfId="0" fontId="7" numFmtId="0" fillId="0" borderId="0" applyFont="1" applyNumberFormat="0" applyFill="0" applyBorder="0" applyAlignment="0">
      <alignment horizontal="general" vertical="bottom" textRotation="0" wrapText="false" shrinkToFit="false"/>
    </xf>
    <xf xfId="0" fontId="7" numFmtId="3" fillId="0" borderId="11" applyFont="1" applyNumberFormat="1" applyFill="0" applyBorder="1" applyAlignment="1">
      <alignment horizontal="general" vertical="center" textRotation="0" wrapText="true" shrinkToFit="false"/>
    </xf>
    <xf xfId="0" fontId="7" numFmtId="3" fillId="0" borderId="11" applyFont="1" applyNumberFormat="1" applyFill="0" applyBorder="1" applyAlignment="1">
      <alignment horizontal="right" vertical="center" textRotation="0" wrapText="false" shrinkToFit="false"/>
    </xf>
    <xf xfId="0" fontId="13" numFmtId="3" fillId="12" borderId="11" applyFont="1" applyNumberFormat="1" applyFill="1" applyBorder="1" applyAlignment="1">
      <alignment horizontal="right" vertical="center" textRotation="0" wrapText="false" shrinkToFit="false"/>
    </xf>
    <xf xfId="0" fontId="13" numFmtId="9" fillId="12" borderId="11" applyFont="1" applyNumberFormat="1" applyFill="1" applyBorder="1" applyAlignment="1">
      <alignment horizontal="right" vertical="center" textRotation="0" wrapText="false" shrinkToFit="false"/>
    </xf>
    <xf xfId="0" fontId="1" numFmtId="3" fillId="0" borderId="52" applyFont="1" applyNumberFormat="1" applyFill="0" applyBorder="1" applyAlignment="1" applyProtection="true">
      <alignment horizontal="general" vertical="center" textRotation="0" wrapText="false" shrinkToFit="false"/>
      <protection hidden="true"/>
    </xf>
    <xf xfId="0" fontId="1" numFmtId="3" fillId="0" borderId="11" applyFont="1" applyNumberFormat="1" applyFill="0" applyBorder="1" applyAlignment="1" applyProtection="true">
      <alignment horizontal="right" vertical="center" textRotation="0" wrapText="false" shrinkToFit="false"/>
      <protection hidden="true"/>
    </xf>
    <xf xfId="0" fontId="21" numFmtId="0" fillId="12" borderId="54" applyFont="1" applyNumberFormat="0" applyFill="1" applyBorder="1" applyAlignment="1" applyProtection="true">
      <alignment horizontal="general" vertical="center" textRotation="0" wrapText="true" shrinkToFit="false"/>
      <protection hidden="true"/>
    </xf>
    <xf xfId="0" fontId="1" numFmtId="3" fillId="0" borderId="55" applyFont="1" applyNumberFormat="1" applyFill="0" applyBorder="1" applyAlignment="1" applyProtection="true">
      <alignment horizontal="general" vertical="center" textRotation="0" wrapText="true" shrinkToFit="false"/>
      <protection hidden="true"/>
    </xf>
    <xf xfId="0" fontId="7" numFmtId="3" fillId="0" borderId="1" applyFont="1" applyNumberFormat="1" applyFill="0" applyBorder="1" applyAlignment="1">
      <alignment horizontal="center" vertical="bottom" textRotation="0" wrapText="false" shrinkToFit="false"/>
    </xf>
    <xf xfId="0" fontId="17" numFmtId="0" fillId="0" borderId="0" applyFont="1" applyNumberFormat="0" applyFill="0" applyBorder="0" applyAlignment="0">
      <alignment horizontal="general" vertical="bottom" textRotation="0" wrapText="false" shrinkToFit="false"/>
    </xf>
    <xf xfId="0" fontId="17" numFmtId="0" fillId="0" borderId="0" applyFont="1" applyNumberFormat="0" applyFill="0" applyBorder="0" applyAlignment="1">
      <alignment horizontal="general" vertical="center" textRotation="0" wrapText="false" shrinkToFit="false"/>
    </xf>
    <xf xfId="0" fontId="17" numFmtId="0" fillId="0" borderId="0" applyFont="1" applyNumberFormat="0" applyFill="0" applyBorder="0" applyAlignment="1">
      <alignment horizontal="general" vertical="top" textRotation="0" wrapText="true" shrinkToFit="false"/>
    </xf>
    <xf xfId="0" fontId="17" numFmtId="0" fillId="0" borderId="0" applyFont="1" applyNumberFormat="0" applyFill="0" applyBorder="0" applyAlignment="1">
      <alignment horizontal="center" vertical="center" textRotation="0" wrapText="false" shrinkToFit="false"/>
    </xf>
    <xf xfId="0" fontId="28" numFmtId="0" fillId="0" borderId="0" applyFont="1" applyNumberFormat="0" applyFill="0" applyBorder="0" applyAlignment="1">
      <alignment horizontal="center" vertical="center" textRotation="0" wrapText="false" shrinkToFit="false"/>
    </xf>
    <xf xfId="0" fontId="29" numFmtId="0" fillId="0" borderId="0" applyFont="1" applyNumberFormat="0" applyFill="0" applyBorder="0" applyAlignment="1">
      <alignment horizontal="center" vertical="center" textRotation="0" wrapText="false" shrinkToFit="false"/>
    </xf>
    <xf xfId="0" fontId="17" numFmtId="0" fillId="13" borderId="0" applyFont="1" applyNumberFormat="0" applyFill="1" applyBorder="0" applyAlignment="0">
      <alignment horizontal="general" vertical="bottom" textRotation="0" wrapText="false" shrinkToFit="false"/>
    </xf>
    <xf xfId="0" fontId="17" numFmtId="0" fillId="13" borderId="0" applyFont="1" applyNumberFormat="0" applyFill="1" applyBorder="0" applyAlignment="1" applyProtection="true">
      <alignment horizontal="center" vertical="center" textRotation="0" wrapText="false" shrinkToFit="false"/>
      <protection locked="false"/>
    </xf>
    <xf xfId="0" fontId="17" numFmtId="17" fillId="0" borderId="0" applyFont="1" applyNumberFormat="1" applyFill="0" applyBorder="0" applyAlignment="1">
      <alignment horizontal="center" vertical="center" textRotation="0" wrapText="false" shrinkToFit="false"/>
    </xf>
    <xf xfId="0" fontId="17" numFmtId="0" fillId="0" borderId="0" applyFont="1" applyNumberFormat="0" applyFill="0" applyBorder="0" applyAlignment="1">
      <alignment horizontal="right" vertical="center" textRotation="0" wrapText="false" shrinkToFit="false"/>
    </xf>
    <xf xfId="0" fontId="30" numFmtId="0" fillId="0" borderId="0" applyFont="1" applyNumberFormat="0" applyFill="0" applyBorder="0" applyAlignment="1">
      <alignment horizontal="general" vertical="center" textRotation="0" wrapText="false" shrinkToFit="false"/>
    </xf>
    <xf xfId="0" fontId="30" numFmtId="0" fillId="0" borderId="0" applyFont="1" applyNumberFormat="0" applyFill="0" applyBorder="0" applyAlignment="1">
      <alignment horizontal="right" vertical="center" textRotation="0" wrapText="false" shrinkToFit="false"/>
    </xf>
    <xf xfId="0" fontId="30" numFmtId="0" fillId="0" borderId="0" applyFont="1" applyNumberFormat="0" applyFill="0" applyBorder="0" applyAlignment="1">
      <alignment horizontal="left" vertical="center" textRotation="0" wrapText="false" shrinkToFit="false" indent="1"/>
    </xf>
    <xf xfId="0" fontId="17" numFmtId="0" fillId="0" borderId="57" applyFont="1" applyNumberFormat="0" applyFill="0" applyBorder="1" applyAlignment="1" applyProtection="true">
      <alignment horizontal="general" vertical="center" textRotation="0" wrapText="true" shrinkToFit="false"/>
      <protection locked="false"/>
    </xf>
    <xf xfId="0" fontId="17" numFmtId="0" fillId="0" borderId="58" applyFont="1" applyNumberFormat="0" applyFill="0" applyBorder="1" applyAlignment="1" applyProtection="true">
      <alignment horizontal="general" vertical="center" textRotation="0" wrapText="true" shrinkToFit="false"/>
      <protection locked="false"/>
    </xf>
    <xf xfId="0" fontId="17" numFmtId="0" fillId="0" borderId="0" applyFont="1" applyNumberFormat="0" applyFill="0" applyBorder="0" applyAlignment="0" applyProtection="true">
      <alignment horizontal="general" vertical="bottom" textRotation="0" wrapText="false" shrinkToFit="false"/>
      <protection locked="false"/>
    </xf>
    <xf xfId="0" fontId="17" numFmtId="0" fillId="0" borderId="37" applyFont="1" applyNumberFormat="0" applyFill="0" applyBorder="1" applyAlignment="1" applyProtection="true">
      <alignment horizontal="general" vertical="center" textRotation="0" wrapText="true" shrinkToFit="false"/>
      <protection locked="false"/>
    </xf>
    <xf xfId="0" fontId="17" numFmtId="0" fillId="0" borderId="0" applyFont="1" applyNumberFormat="0" applyFill="0" applyBorder="0" applyAlignment="1" applyProtection="true">
      <alignment horizontal="general" vertical="center" textRotation="0" wrapText="true" shrinkToFit="false"/>
      <protection locked="false"/>
    </xf>
    <xf xfId="0" fontId="31" numFmtId="0" fillId="0" borderId="0" applyFont="1" applyNumberFormat="0" applyFill="0" applyBorder="0" applyAlignment="1" applyProtection="true">
      <alignment horizontal="justify" vertical="center" textRotation="0" wrapText="false" shrinkToFit="false"/>
      <protection locked="false"/>
    </xf>
    <xf xfId="0" fontId="29" numFmtId="0" fillId="0" borderId="0" applyFont="1" applyNumberFormat="0" applyFill="0" applyBorder="0" applyAlignment="1" applyProtection="true">
      <alignment horizontal="justify" vertical="center" textRotation="0" wrapText="false" shrinkToFit="false"/>
      <protection locked="false"/>
    </xf>
    <xf xfId="0" fontId="29" numFmtId="3" fillId="0" borderId="11" applyFont="1" applyNumberFormat="1" applyFill="0" applyBorder="1" applyAlignment="1" applyProtection="true">
      <alignment horizontal="general" vertical="center" textRotation="0" wrapText="false" shrinkToFit="false"/>
      <protection locked="false"/>
    </xf>
    <xf xfId="0" fontId="29" numFmtId="0" fillId="0" borderId="11" applyFont="1" applyNumberFormat="0" applyFill="0" applyBorder="1" applyAlignment="1" applyProtection="true">
      <alignment horizontal="general" vertical="center" textRotation="0" wrapText="false" shrinkToFit="false"/>
      <protection locked="false"/>
    </xf>
    <xf xfId="0" fontId="17" numFmtId="0" fillId="0" borderId="11" applyFont="1" applyNumberFormat="0" applyFill="0" applyBorder="1" applyAlignment="0" applyProtection="true">
      <alignment horizontal="general" vertical="bottom" textRotation="0" wrapText="false" shrinkToFit="false"/>
      <protection locked="false"/>
    </xf>
    <xf xfId="0" fontId="29" numFmtId="0" fillId="0" borderId="0" applyFont="1" applyNumberFormat="0" applyFill="0" applyBorder="0" applyAlignment="1" applyProtection="true">
      <alignment horizontal="left" vertical="center" textRotation="0" wrapText="true" shrinkToFit="false"/>
      <protection locked="false"/>
    </xf>
    <xf xfId="0" fontId="17" numFmtId="0" fillId="0" borderId="0" applyFont="1" applyNumberFormat="0" applyFill="0" applyBorder="0" applyAlignment="1" applyProtection="true">
      <alignment horizontal="justify" vertical="center" textRotation="0" wrapText="false" shrinkToFit="false"/>
      <protection locked="false"/>
    </xf>
    <xf xfId="0" fontId="17" numFmtId="0" fillId="0" borderId="0" applyFont="1" applyNumberFormat="0" applyFill="0" applyBorder="0" applyAlignment="1" applyProtection="true">
      <alignment horizontal="justify" vertical="center" textRotation="0" wrapText="false" shrinkToFit="false"/>
      <protection hidden="true"/>
    </xf>
    <xf xfId="0" fontId="17" numFmtId="0" fillId="0" borderId="0" applyFont="1" applyNumberFormat="0" applyFill="0" applyBorder="0" applyAlignment="0" applyProtection="true">
      <alignment horizontal="general" vertical="bottom" textRotation="0" wrapText="false" shrinkToFit="false"/>
      <protection hidden="true"/>
    </xf>
    <xf xfId="0" fontId="29" numFmtId="0" fillId="0" borderId="0" applyFont="1" applyNumberFormat="0" applyFill="0" applyBorder="0" applyAlignment="1" applyProtection="true">
      <alignment horizontal="justify" vertical="center" textRotation="0" wrapText="false" shrinkToFit="false"/>
      <protection hidden="true"/>
    </xf>
    <xf xfId="0" fontId="16" numFmtId="0" fillId="0" borderId="0" applyFont="1" applyNumberFormat="0" applyFill="0" applyBorder="0" applyAlignment="0" applyProtection="true">
      <alignment horizontal="general" vertical="bottom" textRotation="0" wrapText="false" shrinkToFit="false"/>
      <protection hidden="true"/>
    </xf>
    <xf xfId="0" fontId="17" numFmtId="0" fillId="0" borderId="0" applyFont="1" applyNumberFormat="0" applyFill="0" applyBorder="0" applyAlignment="1" applyProtection="true">
      <alignment horizontal="general" vertical="center" textRotation="0" wrapText="false" shrinkToFit="false"/>
      <protection hidden="true"/>
    </xf>
    <xf xfId="0" fontId="1" numFmtId="0" fillId="0" borderId="0" applyFont="1" applyNumberFormat="0" applyFill="0" applyBorder="0" applyAlignment="1" applyProtection="true">
      <alignment horizontal="general" vertical="center" textRotation="0" wrapText="false" shrinkToFit="false"/>
      <protection hidden="true"/>
    </xf>
    <xf xfId="0" fontId="17" numFmtId="0" fillId="0" borderId="0" applyFont="1" applyNumberFormat="0" applyFill="0" applyBorder="0" applyAlignment="1" applyProtection="true">
      <alignment horizontal="left" vertical="center" textRotation="0" wrapText="false" shrinkToFit="false"/>
      <protection hidden="true"/>
    </xf>
    <xf xfId="0" fontId="17" numFmtId="3" fillId="0" borderId="0" applyFont="1" applyNumberFormat="1" applyFill="0" applyBorder="0" applyAlignment="1" applyProtection="true">
      <alignment horizontal="right" vertical="center" textRotation="0" wrapText="false" shrinkToFit="false"/>
      <protection hidden="true"/>
    </xf>
    <xf xfId="0" fontId="17" numFmtId="9" fillId="0" borderId="0" applyFont="1" applyNumberFormat="1" applyFill="0" applyBorder="0" applyAlignment="1" applyProtection="true">
      <alignment horizontal="left" vertical="center" textRotation="0" wrapText="false" shrinkToFit="false"/>
      <protection hidden="true"/>
    </xf>
    <xf xfId="0" fontId="17" numFmtId="1" fillId="0" borderId="0" applyFont="1" applyNumberFormat="1" applyFill="0" applyBorder="0" applyAlignment="1" applyProtection="true">
      <alignment horizontal="left" vertical="center" textRotation="0" wrapText="false" shrinkToFit="false"/>
      <protection hidden="true"/>
    </xf>
    <xf xfId="0" fontId="17" numFmtId="9" fillId="0" borderId="0" applyFont="1" applyNumberFormat="1" applyFill="0" applyBorder="0" applyAlignment="1" applyProtection="true">
      <alignment horizontal="right" vertical="center" textRotation="0" wrapText="false" shrinkToFit="false"/>
      <protection hidden="true"/>
    </xf>
    <xf xfId="0" fontId="32" numFmtId="0" fillId="0" borderId="37" applyFont="1" applyNumberFormat="0" applyFill="0" applyBorder="1" applyAlignment="1" applyProtection="true">
      <alignment horizontal="general" vertical="center" textRotation="0" wrapText="false" shrinkToFit="false"/>
      <protection hidden="true"/>
    </xf>
    <xf xfId="0" fontId="21" numFmtId="3" fillId="12" borderId="13" applyFont="1" applyNumberFormat="1" applyFill="1" applyBorder="1" applyAlignment="1" applyProtection="true">
      <alignment horizontal="general" vertical="center" textRotation="0" wrapText="true" shrinkToFit="false"/>
      <protection hidden="true"/>
    </xf>
    <xf xfId="0" fontId="7" numFmtId="3" fillId="0" borderId="10" applyFont="1" applyNumberFormat="1" applyFill="0" applyBorder="1" applyAlignment="1" applyProtection="true">
      <alignment horizontal="general" vertical="center" textRotation="0" wrapText="true" shrinkToFit="false"/>
      <protection hidden="true"/>
    </xf>
    <xf xfId="0" fontId="7" numFmtId="3" fillId="0" borderId="54" applyFont="1" applyNumberFormat="1" applyFill="0" applyBorder="1" applyAlignment="1" applyProtection="true">
      <alignment horizontal="general" vertical="center" textRotation="0" wrapText="true" shrinkToFit="false"/>
      <protection hidden="true"/>
    </xf>
    <xf xfId="0" fontId="7" numFmtId="3" fillId="0" borderId="54" applyFont="1" applyNumberFormat="1" applyFill="0" applyBorder="1" applyAlignment="1" applyProtection="true">
      <alignment horizontal="general" vertical="center" textRotation="0" wrapText="true" shrinkToFit="false"/>
      <protection hidden="true"/>
    </xf>
    <xf xfId="0" fontId="21" numFmtId="0" fillId="12" borderId="48" applyFont="1" applyNumberFormat="0" applyFill="1" applyBorder="1" applyAlignment="1" applyProtection="true">
      <alignment horizontal="general" vertical="center" textRotation="0" wrapText="true" shrinkToFit="false"/>
      <protection hidden="true"/>
    </xf>
    <xf xfId="0" fontId="33" numFmtId="0" fillId="12" borderId="44" applyFont="1" applyNumberFormat="0" applyFill="1" applyBorder="1" applyAlignment="1" applyProtection="true">
      <alignment horizontal="general" vertical="center" textRotation="0" wrapText="true" shrinkToFit="false"/>
      <protection hidden="true"/>
    </xf>
    <xf xfId="0" fontId="33" numFmtId="0" fillId="12" borderId="59" applyFont="1" applyNumberFormat="0" applyFill="1" applyBorder="1" applyAlignment="1" applyProtection="true">
      <alignment horizontal="general" vertical="center" textRotation="0" wrapText="true" shrinkToFit="false"/>
      <protection hidden="true"/>
    </xf>
    <xf xfId="0" fontId="33" numFmtId="0" fillId="12" borderId="52" applyFont="1" applyNumberFormat="0" applyFill="1" applyBorder="1" applyAlignment="1" applyProtection="true">
      <alignment horizontal="general" vertical="center" textRotation="0" wrapText="true" shrinkToFit="false"/>
      <protection hidden="true"/>
    </xf>
    <xf xfId="0" fontId="7" numFmtId="3" fillId="0" borderId="52" applyFont="1" applyNumberFormat="1" applyFill="0" applyBorder="1" applyAlignment="1" applyProtection="true">
      <alignment horizontal="general" vertical="center" textRotation="0" wrapText="true" shrinkToFit="false"/>
      <protection hidden="true"/>
    </xf>
    <xf xfId="0" fontId="7" numFmtId="3" fillId="0" borderId="52" applyFont="1" applyNumberFormat="1" applyFill="0" applyBorder="1" applyAlignment="1" applyProtection="true">
      <alignment horizontal="general" vertical="center" textRotation="0" wrapText="true" shrinkToFit="false"/>
      <protection hidden="true"/>
    </xf>
    <xf xfId="0" fontId="7" numFmtId="3" fillId="0" borderId="60" applyFont="1" applyNumberFormat="1" applyFill="0" applyBorder="1" applyAlignment="1" applyProtection="true">
      <alignment horizontal="general" vertical="center" textRotation="0" wrapText="true" shrinkToFit="false"/>
      <protection hidden="true"/>
    </xf>
    <xf xfId="0" fontId="1" numFmtId="0" fillId="0" borderId="48" applyFont="1" applyNumberFormat="0" applyFill="0" applyBorder="1" applyAlignment="1" applyProtection="true">
      <alignment horizontal="general" vertical="center" textRotation="0" wrapText="true" shrinkToFit="false"/>
      <protection hidden="true"/>
    </xf>
    <xf xfId="0" fontId="1" numFmtId="3" fillId="0" borderId="60" applyFont="1" applyNumberFormat="1" applyFill="0" applyBorder="1" applyAlignment="1" applyProtection="true">
      <alignment horizontal="general" vertical="center" textRotation="0" wrapText="true" shrinkToFit="false"/>
      <protection hidden="true"/>
    </xf>
    <xf xfId="0" fontId="1" numFmtId="3" fillId="0" borderId="52" applyFont="1" applyNumberFormat="1" applyFill="0" applyBorder="1" applyAlignment="1" applyProtection="true">
      <alignment horizontal="general" vertical="center" textRotation="0" wrapText="true" shrinkToFit="false"/>
      <protection hidden="true"/>
    </xf>
    <xf xfId="0" fontId="1" numFmtId="3" fillId="0" borderId="52" applyFont="1" applyNumberFormat="1" applyFill="0" applyBorder="1" applyAlignment="1" applyProtection="true">
      <alignment horizontal="general" vertical="center" textRotation="0" wrapText="true" shrinkToFit="false"/>
      <protection hidden="true"/>
    </xf>
    <xf xfId="0" fontId="7" numFmtId="0" fillId="0" borderId="61" applyFont="1" applyNumberFormat="0" applyFill="0" applyBorder="1" applyAlignment="1" applyProtection="true">
      <alignment horizontal="general" vertical="center" textRotation="0" wrapText="false" shrinkToFit="false"/>
      <protection hidden="true"/>
    </xf>
    <xf xfId="0" fontId="7" numFmtId="3" fillId="0" borderId="6" applyFont="1" applyNumberFormat="1" applyFill="0" applyBorder="1" applyAlignment="1" applyProtection="true">
      <alignment horizontal="general" vertical="center" textRotation="0" wrapText="false" shrinkToFit="false"/>
      <protection hidden="true"/>
    </xf>
    <xf xfId="0" fontId="7" numFmtId="3" fillId="0" borderId="56" applyFont="1" applyNumberFormat="1" applyFill="0" applyBorder="1" applyAlignment="1" applyProtection="true">
      <alignment horizontal="general" vertical="center" textRotation="0" wrapText="false" shrinkToFit="false"/>
      <protection hidden="true"/>
    </xf>
    <xf xfId="0" fontId="7" numFmtId="3" fillId="0" borderId="62" applyFont="1" applyNumberFormat="1" applyFill="0" applyBorder="1" applyAlignment="1" applyProtection="true">
      <alignment horizontal="general" vertical="center" textRotation="0" wrapText="false" shrinkToFit="false"/>
      <protection hidden="true"/>
    </xf>
    <xf xfId="0" fontId="7" numFmtId="3" fillId="0" borderId="56" applyFont="1" applyNumberFormat="1" applyFill="0" applyBorder="1" applyAlignment="1" applyProtection="true">
      <alignment horizontal="general" vertical="center" textRotation="0" wrapText="false" shrinkToFit="false"/>
      <protection hidden="true"/>
    </xf>
    <xf xfId="0" fontId="21" numFmtId="0" fillId="12" borderId="50" applyFont="1" applyNumberFormat="0" applyFill="1" applyBorder="1" applyAlignment="1" applyProtection="true">
      <alignment horizontal="general" vertical="center" textRotation="0" wrapText="true" shrinkToFit="false"/>
      <protection hidden="true"/>
    </xf>
    <xf xfId="0" fontId="21" numFmtId="3" fillId="12" borderId="28" applyFont="1" applyNumberFormat="1" applyFill="1" applyBorder="1" applyAlignment="1" applyProtection="true">
      <alignment horizontal="general" vertical="center" textRotation="0" wrapText="true" shrinkToFit="false"/>
      <protection hidden="true"/>
    </xf>
    <xf xfId="0" fontId="21" numFmtId="3" fillId="12" borderId="63" applyFont="1" applyNumberFormat="1" applyFill="1" applyBorder="1" applyAlignment="1" applyProtection="true">
      <alignment horizontal="general" vertical="center" textRotation="0" wrapText="true" shrinkToFit="false"/>
      <protection hidden="true"/>
    </xf>
    <xf xfId="0" fontId="21" numFmtId="3" fillId="12" borderId="64" applyFont="1" applyNumberFormat="1" applyFill="1" applyBorder="1" applyAlignment="1" applyProtection="true">
      <alignment horizontal="general" vertical="center" textRotation="0" wrapText="true" shrinkToFit="false"/>
      <protection hidden="true"/>
    </xf>
    <xf xfId="0" fontId="21" numFmtId="3" fillId="12" borderId="63" applyFont="1" applyNumberFormat="1" applyFill="1" applyBorder="1" applyAlignment="1" applyProtection="true">
      <alignment horizontal="general" vertical="center" textRotation="0" wrapText="true" shrinkToFit="false"/>
      <protection hidden="true"/>
    </xf>
    <xf xfId="0" fontId="7" numFmtId="3" fillId="0" borderId="5" applyFont="1" applyNumberFormat="1" applyFill="0" applyBorder="1" applyAlignment="1" applyProtection="true">
      <alignment horizontal="general" vertical="center" textRotation="0" wrapText="true" shrinkToFit="false"/>
      <protection hidden="true"/>
    </xf>
    <xf xfId="0" fontId="33" numFmtId="0" fillId="12" borderId="49" applyFont="1" applyNumberFormat="0" applyFill="1" applyBorder="1" applyAlignment="1" applyProtection="true">
      <alignment horizontal="general" vertical="center" textRotation="0" wrapText="true" shrinkToFit="false"/>
      <protection hidden="true"/>
    </xf>
    <xf xfId="0" fontId="7" numFmtId="3" fillId="0" borderId="49" applyFont="1" applyNumberFormat="1" applyFill="0" applyBorder="1" applyAlignment="1" applyProtection="true">
      <alignment horizontal="general" vertical="center" textRotation="0" wrapText="true" shrinkToFit="false"/>
      <protection hidden="true"/>
    </xf>
    <xf xfId="0" fontId="1" numFmtId="3" fillId="0" borderId="49" applyFont="1" applyNumberFormat="1" applyFill="0" applyBorder="1" applyAlignment="1" applyProtection="true">
      <alignment horizontal="general" vertical="center" textRotation="0" wrapText="true" shrinkToFit="false"/>
      <protection hidden="true"/>
    </xf>
    <xf xfId="0" fontId="7" numFmtId="3" fillId="0" borderId="65" applyFont="1" applyNumberFormat="1" applyFill="0" applyBorder="1" applyAlignment="1" applyProtection="true">
      <alignment horizontal="general" vertical="center" textRotation="0" wrapText="false" shrinkToFit="false"/>
      <protection hidden="true"/>
    </xf>
    <xf xfId="0" fontId="21" numFmtId="3" fillId="12" borderId="66" applyFont="1" applyNumberFormat="1" applyFill="1" applyBorder="1" applyAlignment="1" applyProtection="true">
      <alignment horizontal="general" vertical="center" textRotation="0" wrapText="true" shrinkToFit="false"/>
      <protection hidden="true"/>
    </xf>
    <xf xfId="0" fontId="34" numFmtId="0" fillId="0" borderId="0" applyFont="1" applyNumberFormat="0" applyFill="0" applyBorder="0" applyAlignment="0">
      <alignment horizontal="general" vertical="bottom" textRotation="0" wrapText="false" shrinkToFit="false"/>
    </xf>
    <xf xfId="0" fontId="34" numFmtId="0" fillId="0" borderId="0" applyFont="1" applyNumberFormat="0" applyFill="0" applyBorder="0" applyAlignment="1">
      <alignment horizontal="center" vertical="center" textRotation="0" wrapText="false" shrinkToFit="false"/>
    </xf>
    <xf xfId="0" fontId="7" numFmtId="3" fillId="0" borderId="13" applyFont="1" applyNumberFormat="1" applyFill="0" applyBorder="1" applyAlignment="1" applyProtection="true">
      <alignment horizontal="general" vertical="center" textRotation="0" wrapText="true" shrinkToFit="false"/>
      <protection hidden="true"/>
    </xf>
    <xf xfId="0" fontId="33" numFmtId="0" fillId="12" borderId="48" applyFont="1" applyNumberFormat="0" applyFill="1" applyBorder="1" applyAlignment="1" applyProtection="true">
      <alignment horizontal="general" vertical="center" textRotation="0" wrapText="true" shrinkToFit="false"/>
      <protection hidden="true"/>
    </xf>
    <xf xfId="0" fontId="7" numFmtId="3" fillId="0" borderId="48" applyFont="1" applyNumberFormat="1" applyFill="0" applyBorder="1" applyAlignment="1" applyProtection="true">
      <alignment horizontal="general" vertical="center" textRotation="0" wrapText="true" shrinkToFit="false"/>
      <protection hidden="true"/>
    </xf>
    <xf xfId="0" fontId="20" numFmtId="0" fillId="0" borderId="13" applyFont="1" applyNumberFormat="0" applyFill="0" applyBorder="1" applyAlignment="1" applyProtection="true">
      <alignment horizontal="general" vertical="center" textRotation="0" wrapText="true" shrinkToFit="false"/>
      <protection hidden="true"/>
    </xf>
    <xf xfId="0" fontId="7" numFmtId="3" fillId="0" borderId="13" applyFont="1" applyNumberFormat="1" applyFill="0" applyBorder="1" applyAlignment="1" applyProtection="true">
      <alignment horizontal="general" vertical="center" textRotation="0" wrapText="true" shrinkToFit="false"/>
      <protection hidden="true"/>
    </xf>
    <xf xfId="0" fontId="33" numFmtId="0" fillId="12" borderId="48" applyFont="1" applyNumberFormat="0" applyFill="1" applyBorder="1" applyAlignment="1" applyProtection="true">
      <alignment horizontal="general" vertical="center" textRotation="0" wrapText="true" shrinkToFit="false"/>
      <protection hidden="true"/>
    </xf>
    <xf xfId="0" fontId="7" numFmtId="3" fillId="0" borderId="13" applyFont="1" applyNumberFormat="1" applyFill="0" applyBorder="1" applyAlignment="1" applyProtection="true">
      <alignment horizontal="general" vertical="center" textRotation="0" wrapText="true" shrinkToFit="false"/>
      <protection hidden="true"/>
    </xf>
    <xf xfId="0" fontId="7" numFmtId="3" fillId="0" borderId="48" applyFont="1" applyNumberFormat="1" applyFill="0" applyBorder="1" applyAlignment="1" applyProtection="true">
      <alignment horizontal="general" vertical="center" textRotation="0" wrapText="true" shrinkToFit="false"/>
      <protection hidden="true"/>
    </xf>
    <xf xfId="0" fontId="1" numFmtId="3" fillId="0" borderId="48" applyFont="1" applyNumberFormat="1" applyFill="0" applyBorder="1" applyAlignment="1" applyProtection="true">
      <alignment horizontal="general" vertical="center" textRotation="0" wrapText="true" shrinkToFit="false"/>
      <protection hidden="true"/>
    </xf>
    <xf xfId="0" fontId="7" numFmtId="3" fillId="0" borderId="67" applyFont="1" applyNumberFormat="1" applyFill="0" applyBorder="1" applyAlignment="1" applyProtection="true">
      <alignment horizontal="general" vertical="center" textRotation="0" wrapText="false" shrinkToFit="false"/>
      <protection hidden="true"/>
    </xf>
    <xf xfId="0" fontId="21" numFmtId="3" fillId="12" borderId="68" applyFont="1" applyNumberFormat="1" applyFill="1" applyBorder="1" applyAlignment="1" applyProtection="true">
      <alignment horizontal="general" vertical="center" textRotation="0" wrapText="true" shrinkToFit="false"/>
      <protection hidden="true"/>
    </xf>
    <xf xfId="0" fontId="21" numFmtId="3" fillId="12" borderId="1" applyFont="1" applyNumberFormat="1" applyFill="1" applyBorder="1" applyAlignment="1" applyProtection="true">
      <alignment horizontal="general" vertical="center" textRotation="0" wrapText="true" shrinkToFit="false"/>
      <protection hidden="true"/>
    </xf>
    <xf xfId="0" fontId="21" numFmtId="3" fillId="12" borderId="1" applyFont="1" applyNumberFormat="1" applyFill="1" applyBorder="1" applyAlignment="1" applyProtection="true">
      <alignment horizontal="center" vertical="center" textRotation="0" wrapText="true" shrinkToFit="false"/>
      <protection hidden="true"/>
    </xf>
    <xf xfId="0" fontId="20" numFmtId="0" fillId="0" borderId="10" applyFont="1" applyNumberFormat="0" applyFill="0" applyBorder="1" applyAlignment="1" applyProtection="true">
      <alignment horizontal="center" vertical="center" textRotation="0" wrapText="true" shrinkToFit="false"/>
      <protection hidden="true"/>
    </xf>
    <xf xfId="0" fontId="20" numFmtId="0" fillId="0" borderId="13" applyFont="1" applyNumberFormat="0" applyFill="0" applyBorder="1" applyAlignment="1" applyProtection="true">
      <alignment horizontal="center" vertical="center" textRotation="0" wrapText="true" shrinkToFit="false"/>
      <protection hidden="true"/>
    </xf>
    <xf xfId="0" fontId="17" numFmtId="0" fillId="14" borderId="0" applyFont="1" applyNumberFormat="0" applyFill="1" applyBorder="0" applyAlignment="0">
      <alignment horizontal="general" vertical="bottom" textRotation="0" wrapText="false" shrinkToFit="false"/>
    </xf>
    <xf xfId="0" fontId="8" numFmtId="0" fillId="0" borderId="0" applyFont="1" applyNumberFormat="0" applyFill="0" applyBorder="0" applyAlignment="1" applyProtection="true">
      <alignment horizontal="left" vertical="center" textRotation="0" wrapText="false" shrinkToFit="false" indent="7"/>
      <protection hidden="true"/>
    </xf>
    <xf xfId="0" fontId="21" numFmtId="0" fillId="12" borderId="8" applyFont="1" applyNumberFormat="0" applyFill="1" applyBorder="1" applyAlignment="1" applyProtection="true">
      <alignment horizontal="general" vertical="center" textRotation="0" wrapText="true" shrinkToFit="false"/>
      <protection hidden="true"/>
    </xf>
    <xf xfId="0" fontId="21" numFmtId="0" fillId="12" borderId="55" applyFont="1" applyNumberFormat="0" applyFill="1" applyBorder="1" applyAlignment="1" applyProtection="true">
      <alignment horizontal="general" vertical="center" textRotation="0" wrapText="true" shrinkToFit="false"/>
      <protection hidden="true"/>
    </xf>
    <xf xfId="0" fontId="8" numFmtId="0" fillId="0" borderId="0" applyFont="1" applyNumberFormat="0" applyFill="0" applyBorder="0" applyAlignment="1" applyProtection="true">
      <alignment horizontal="left" vertical="center" textRotation="0" wrapText="false" shrinkToFit="false"/>
      <protection hidden="true"/>
    </xf>
    <xf xfId="0" fontId="8" numFmtId="0" fillId="0" borderId="0" applyFont="1" applyNumberFormat="0" applyFill="0" applyBorder="0" applyAlignment="1" applyProtection="true">
      <alignment horizontal="left" vertical="center" textRotation="0" wrapText="false" shrinkToFit="false" indent="5"/>
      <protection hidden="true"/>
    </xf>
    <xf xfId="0" fontId="8" numFmtId="0" fillId="0" borderId="0" applyFont="1" applyNumberFormat="0" applyFill="0" applyBorder="0" applyAlignment="1" applyProtection="true">
      <alignment horizontal="left" vertical="center" textRotation="0" wrapText="false" shrinkToFit="false" indent="8"/>
      <protection hidden="true"/>
    </xf>
    <xf xfId="0" fontId="7" numFmtId="0" fillId="0" borderId="53" applyFont="1" applyNumberFormat="0" applyFill="0" applyBorder="1" applyAlignment="1" applyProtection="true">
      <alignment horizontal="general" vertical="center" textRotation="0" wrapText="true" shrinkToFit="false"/>
      <protection hidden="true"/>
    </xf>
    <xf xfId="0" fontId="7" numFmtId="0" fillId="0" borderId="54" applyFont="1" applyNumberFormat="0" applyFill="0" applyBorder="1" applyAlignment="1" applyProtection="true">
      <alignment horizontal="general" vertical="center" textRotation="0" wrapText="true" shrinkToFit="false"/>
      <protection hidden="true"/>
    </xf>
    <xf xfId="0" fontId="1" numFmtId="3" fillId="0" borderId="11" applyFont="1" applyNumberFormat="1" applyFill="0" applyBorder="1" applyAlignment="1" applyProtection="true">
      <alignment horizontal="left" vertical="center" textRotation="0" wrapText="true" shrinkToFit="false"/>
      <protection hidden="true"/>
    </xf>
    <xf xfId="0" fontId="1" numFmtId="0" fillId="0" borderId="11" applyFont="1" applyNumberFormat="0" applyFill="0" applyBorder="1" applyAlignment="1" applyProtection="true">
      <alignment horizontal="left" vertical="center" textRotation="0" wrapText="true" shrinkToFit="false"/>
      <protection hidden="true"/>
    </xf>
    <xf xfId="0" fontId="8" numFmtId="0" fillId="0" borderId="0" applyFont="1" applyNumberFormat="0" applyFill="0" applyBorder="0" applyAlignment="1" applyProtection="true">
      <alignment horizontal="left" vertical="center" textRotation="0" wrapText="false" shrinkToFit="false"/>
      <protection locked="false"/>
    </xf>
    <xf xfId="0" fontId="7" numFmtId="3" fillId="0" borderId="53" applyFont="1" applyNumberFormat="1" applyFill="0" applyBorder="1" applyAlignment="1" applyProtection="true">
      <alignment horizontal="general" vertical="center" textRotation="0" wrapText="false" shrinkToFit="false"/>
      <protection hidden="true"/>
    </xf>
    <xf xfId="0" fontId="7" numFmtId="3" fillId="0" borderId="4" applyFont="1" applyNumberFormat="1" applyFill="0" applyBorder="1" applyAlignment="1" applyProtection="true">
      <alignment horizontal="general" vertical="center" textRotation="0" wrapText="false" shrinkToFit="false"/>
      <protection hidden="true"/>
    </xf>
    <xf xfId="0" fontId="7" numFmtId="3" fillId="0" borderId="54" applyFont="1" applyNumberFormat="1" applyFill="0" applyBorder="1" applyAlignment="1" applyProtection="true">
      <alignment horizontal="general" vertical="center" textRotation="0" wrapText="false" shrinkToFit="false"/>
      <protection hidden="true"/>
    </xf>
    <xf xfId="0" fontId="29" numFmtId="0" fillId="0" borderId="0" applyFont="1" applyNumberFormat="0" applyFill="0" applyBorder="0" applyAlignment="1" applyProtection="true">
      <alignment horizontal="left" vertical="center" textRotation="0" wrapText="true" shrinkToFit="false"/>
      <protection locked="false"/>
    </xf>
    <xf xfId="0" fontId="21" numFmtId="0" fillId="12" borderId="53" applyFont="1" applyNumberFormat="0" applyFill="1" applyBorder="1" applyAlignment="1" applyProtection="true">
      <alignment horizontal="general" vertical="center" textRotation="0" wrapText="false" shrinkToFit="false"/>
      <protection hidden="true"/>
    </xf>
    <xf xfId="0" fontId="21" numFmtId="0" fillId="12" borderId="4" applyFont="1" applyNumberFormat="0" applyFill="1" applyBorder="1" applyAlignment="1" applyProtection="true">
      <alignment horizontal="general" vertical="center" textRotation="0" wrapText="false" shrinkToFit="false"/>
      <protection hidden="true"/>
    </xf>
    <xf xfId="0" fontId="21" numFmtId="0" fillId="12" borderId="54" applyFont="1" applyNumberFormat="0" applyFill="1" applyBorder="1" applyAlignment="1" applyProtection="true">
      <alignment horizontal="general" vertical="center" textRotation="0" wrapText="false" shrinkToFit="false"/>
      <protection hidden="true"/>
    </xf>
    <xf xfId="0" fontId="7" numFmtId="0" fillId="0" borderId="53" applyFont="1" applyNumberFormat="0" applyFill="0" applyBorder="1" applyAlignment="1" applyProtection="true">
      <alignment horizontal="general" vertical="center" textRotation="0" wrapText="false" shrinkToFit="false"/>
      <protection hidden="true"/>
    </xf>
    <xf xfId="0" fontId="7" numFmtId="0" fillId="0" borderId="4" applyFont="1" applyNumberFormat="0" applyFill="0" applyBorder="1" applyAlignment="1" applyProtection="true">
      <alignment horizontal="general" vertical="center" textRotation="0" wrapText="false" shrinkToFit="false"/>
      <protection hidden="true"/>
    </xf>
    <xf xfId="0" fontId="7" numFmtId="0" fillId="0" borderId="54" applyFont="1" applyNumberFormat="0" applyFill="0" applyBorder="1" applyAlignment="1" applyProtection="true">
      <alignment horizontal="general" vertical="center" textRotation="0" wrapText="false" shrinkToFit="false"/>
      <protection hidden="true"/>
    </xf>
    <xf xfId="0" fontId="2" numFmtId="0" fillId="0" borderId="0" applyFont="1" applyNumberFormat="0" applyFill="0" applyBorder="0" applyAlignment="1">
      <alignment horizontal="center" vertical="center" textRotation="0" wrapText="true" shrinkToFit="false"/>
    </xf>
    <xf xfId="0" fontId="35" numFmtId="0" fillId="0" borderId="0" applyFont="1" applyNumberFormat="0" applyFill="0" applyBorder="0" applyAlignment="1">
      <alignment horizontal="center" vertical="center" textRotation="0" wrapText="false" shrinkToFit="false"/>
    </xf>
    <xf xfId="0" fontId="17" numFmtId="0" fillId="11" borderId="69" applyFont="1" applyNumberFormat="0" applyFill="1" applyBorder="1" applyAlignment="1" applyProtection="true">
      <alignment horizontal="general" vertical="center" textRotation="0" wrapText="true" shrinkToFit="false"/>
      <protection locked="false"/>
    </xf>
    <xf xfId="0" fontId="17" numFmtId="0" fillId="11" borderId="70" applyFont="1" applyNumberFormat="0" applyFill="1" applyBorder="1" applyAlignment="1" applyProtection="true">
      <alignment horizontal="general" vertical="center" textRotation="0" wrapText="true" shrinkToFit="false"/>
      <protection locked="false"/>
    </xf>
    <xf xfId="0" fontId="29" numFmtId="0" fillId="0" borderId="11" applyFont="1" applyNumberFormat="0" applyFill="0" applyBorder="1" applyAlignment="1" applyProtection="true">
      <alignment horizontal="general" vertical="center" textRotation="0" wrapText="false" shrinkToFit="false"/>
      <protection locked="false"/>
    </xf>
    <xf xfId="0" fontId="2" numFmtId="0" fillId="0" borderId="0" applyFont="1" applyNumberFormat="0" applyFill="0" applyBorder="0" applyAlignment="1" applyProtection="true">
      <alignment horizontal="center" vertical="center" textRotation="0" wrapText="true" shrinkToFit="false"/>
      <protection locked="false"/>
    </xf>
    <xf xfId="0" fontId="29" numFmtId="0" fillId="0" borderId="0" applyFont="1" applyNumberFormat="0" applyFill="0" applyBorder="0" applyAlignment="1">
      <alignment horizontal="center" vertical="center" textRotation="0" wrapText="true" shrinkToFit="false"/>
    </xf>
    <xf xfId="0" fontId="17" numFmtId="0" fillId="0" borderId="37" applyFont="1" applyNumberFormat="0" applyFill="0" applyBorder="1" applyAlignment="1" applyProtection="true">
      <alignment horizontal="general" vertical="center" textRotation="0" wrapText="true" shrinkToFit="false"/>
      <protection locked="false"/>
    </xf>
    <xf xfId="0" fontId="17" numFmtId="0" fillId="0" borderId="0" applyFont="1" applyNumberFormat="0" applyFill="0" applyBorder="0" applyAlignment="1" applyProtection="true">
      <alignment horizontal="general" vertical="center" textRotation="0" wrapText="true" shrinkToFit="false"/>
      <protection locked="false"/>
    </xf>
    <xf xfId="0" fontId="8" numFmtId="0" fillId="0" borderId="59" applyFont="1" applyNumberFormat="0" applyFill="0" applyBorder="1" applyAlignment="1" applyProtection="true">
      <alignment horizontal="center" vertical="center" textRotation="0" wrapText="false" shrinkToFit="false"/>
      <protection locked="false"/>
    </xf>
    <xf xfId="0" fontId="29" numFmtId="0" fillId="0" borderId="0" applyFont="1" applyNumberFormat="0" applyFill="0" applyBorder="0" applyAlignment="1" applyProtection="true">
      <alignment horizontal="justify" vertical="center" textRotation="0" wrapText="false" shrinkToFit="false"/>
      <protection locked="false"/>
    </xf>
    <xf xfId="0" fontId="21" numFmtId="0" fillId="12" borderId="11" applyFont="1" applyNumberFormat="0" applyFill="1" applyBorder="1" applyAlignment="1" applyProtection="true">
      <alignment horizontal="center" vertical="center" textRotation="0" wrapText="true" shrinkToFit="false"/>
      <protection hidden="true"/>
    </xf>
    <xf xfId="0" fontId="36" numFmtId="0" fillId="3" borderId="71" applyFont="1" applyNumberFormat="0" applyFill="1" applyBorder="1" applyAlignment="1" applyProtection="true">
      <alignment horizontal="justify" vertical="center" textRotation="0" wrapText="true" shrinkToFit="false"/>
      <protection locked="false"/>
    </xf>
    <xf xfId="0" fontId="36" numFmtId="0" fillId="3" borderId="72" applyFont="1" applyNumberFormat="0" applyFill="1" applyBorder="1" applyAlignment="1" applyProtection="true">
      <alignment horizontal="justify" vertical="center" textRotation="0" wrapText="true" shrinkToFit="false"/>
      <protection locked="false"/>
    </xf>
    <xf xfId="0" fontId="36" numFmtId="0" fillId="3" borderId="73" applyFont="1" applyNumberFormat="0" applyFill="1" applyBorder="1" applyAlignment="1" applyProtection="true">
      <alignment horizontal="justify" vertical="center" textRotation="0" wrapText="true" shrinkToFit="false"/>
      <protection locked="false"/>
    </xf>
    <xf xfId="0" fontId="8" numFmtId="0" fillId="0" borderId="57" applyFont="1" applyNumberFormat="0" applyFill="0" applyBorder="1" applyAlignment="1" applyProtection="true">
      <alignment horizontal="left" vertical="center" textRotation="0" wrapText="true" shrinkToFit="false"/>
      <protection locked="false"/>
    </xf>
    <xf xfId="0" fontId="8" numFmtId="0" fillId="0" borderId="58" applyFont="1" applyNumberFormat="0" applyFill="0" applyBorder="1" applyAlignment="1" applyProtection="true">
      <alignment horizontal="left" vertical="center" textRotation="0" wrapText="true" shrinkToFit="false"/>
      <protection locked="false"/>
    </xf>
    <xf xfId="0" fontId="8" numFmtId="0" fillId="15" borderId="58" applyFont="1" applyNumberFormat="0" applyFill="1" applyBorder="1" applyAlignment="1" applyProtection="true">
      <alignment horizontal="general" vertical="center" textRotation="0" wrapText="true" shrinkToFit="false"/>
      <protection locked="false"/>
    </xf>
    <xf xfId="0" fontId="8" numFmtId="0" fillId="15" borderId="74" applyFont="1" applyNumberFormat="0" applyFill="1" applyBorder="1" applyAlignment="1" applyProtection="true">
      <alignment horizontal="general" vertical="center" textRotation="0" wrapText="true" shrinkToFit="false"/>
      <protection locked="false"/>
    </xf>
    <xf xfId="0" fontId="17" numFmtId="0" fillId="0" borderId="75" applyFont="1" applyNumberFormat="0" applyFill="0" applyBorder="1" applyAlignment="1" applyProtection="true">
      <alignment horizontal="justify" vertical="center" textRotation="0" wrapText="true" shrinkToFit="false"/>
      <protection locked="false"/>
    </xf>
    <xf xfId="0" fontId="17" numFmtId="0" fillId="0" borderId="76" applyFont="1" applyNumberFormat="0" applyFill="0" applyBorder="1" applyAlignment="1" applyProtection="true">
      <alignment horizontal="justify" vertical="center" textRotation="0" wrapText="true" shrinkToFit="false"/>
      <protection locked="false"/>
    </xf>
    <xf xfId="0" fontId="17" numFmtId="0" fillId="0" borderId="47" applyFont="1" applyNumberFormat="0" applyFill="0" applyBorder="1" applyAlignment="1" applyProtection="true">
      <alignment horizontal="justify" vertical="center" textRotation="0" wrapText="true" shrinkToFit="false"/>
      <protection locked="false"/>
    </xf>
    <xf xfId="0" fontId="17" numFmtId="0" fillId="11" borderId="77" applyFont="1" applyNumberFormat="0" applyFill="1" applyBorder="1" applyAlignment="1" applyProtection="true">
      <alignment horizontal="general" vertical="center" textRotation="0" wrapText="true" shrinkToFit="false"/>
      <protection locked="false"/>
    </xf>
    <xf xfId="0" fontId="17" numFmtId="0" fillId="11" borderId="78" applyFont="1" applyNumberFormat="0" applyFill="1" applyBorder="1" applyAlignment="1" applyProtection="true">
      <alignment horizontal="general" vertical="center" textRotation="0" wrapText="true" shrinkToFit="false"/>
      <protection locked="false"/>
    </xf>
    <xf xfId="0" fontId="8" numFmtId="0" fillId="0" borderId="0" applyFont="1" applyNumberFormat="0" applyFill="0" applyBorder="0" applyAlignment="1" applyProtection="true">
      <alignment horizontal="left" vertical="center" textRotation="0" wrapText="false" shrinkToFit="false" indent="6"/>
      <protection hidden="true"/>
    </xf>
    <xf xfId="0" fontId="21" numFmtId="0" fillId="12" borderId="53" applyFont="1" applyNumberFormat="0" applyFill="1" applyBorder="1" applyAlignment="1" applyProtection="true">
      <alignment horizontal="center" vertical="center" textRotation="0" wrapText="false" shrinkToFit="false"/>
      <protection hidden="true"/>
    </xf>
    <xf xfId="0" fontId="21" numFmtId="0" fillId="12" borderId="4" applyFont="1" applyNumberFormat="0" applyFill="1" applyBorder="1" applyAlignment="1" applyProtection="true">
      <alignment horizontal="center" vertical="center" textRotation="0" wrapText="false" shrinkToFit="false"/>
      <protection hidden="true"/>
    </xf>
    <xf xfId="0" fontId="21" numFmtId="0" fillId="12" borderId="54" applyFont="1" applyNumberFormat="0" applyFill="1" applyBorder="1" applyAlignment="1" applyProtection="true">
      <alignment horizontal="center" vertical="center" textRotation="0" wrapText="false" shrinkToFit="false"/>
      <protection hidden="true"/>
    </xf>
  </cellXfs>
  <cellStyles count="1">
    <cellStyle name="Normal" xfId="0" builtinId="0"/>
  </cellStyles>
  <dxfs count="2">
    <dxf>
      <font>
        <b val="1"/>
        <i val="0"/>
        <color rgb="FFFF0000"/>
      </font>
      <alignment/>
      <border/>
    </dxf>
    <dxf>
      <font>
        <b val="1"/>
        <i val="0"/>
        <color rgb="FFFF0000"/>
      </font>
      <fill>
        <patternFill patternType="solid">
          <bgColor rgb="FFFFFFFF"/>
        </patternFill>
      </fill>
      <alignment/>
      <border/>
    </dxf>
  </dxfs>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s>
</file>

<file path=xl/drawings/_rels/drawing1.xml.rels><?xml version="1.0" encoding="UTF-8" standalone="yes"?>
<Relationships xmlns="http://schemas.openxmlformats.org/package/2006/relationships"><Relationship Id="rId1" Type="http://schemas.openxmlformats.org/officeDocument/2006/relationships/image" Target="../media/79795b6f5d1b085845666b307d1dd4d2.jpg"/></Relationships>
</file>

<file path=xl/drawings/_rels/vmlDrawing3.vml.rels><?xml version="1.0" encoding="UTF-8" standalone="yes"?>
<Relationships xmlns="http://schemas.openxmlformats.org/package/2006/relationships"/>
</file>

<file path=xl/drawings/_rels/vmlDrawing14.vml.rels><?xml version="1.0" encoding="UTF-8" standalone="yes"?>
<Relationships xmlns="http://schemas.openxmlformats.org/package/2006/relationships"/>
</file>

<file path=xl/drawings/_rels/vmlDrawing21.vml.rels><?xml version="1.0" encoding="UTF-8" standalone="yes"?>
<Relationships xmlns="http://schemas.openxmlformats.org/package/2006/relationships"/>
</file>

<file path=xl/drawings/drawing1.xml><?xml version="1.0" encoding="utf-8"?>
<xdr:wsDr xmlns:xdr="http://schemas.openxmlformats.org/drawingml/2006/spreadsheetDrawing" xmlns:a="http://schemas.openxmlformats.org/drawingml/2006/main">
  <xdr:oneCellAnchor>
    <xdr:from>
      <xdr:col>0</xdr:col>
      <xdr:colOff>0</xdr:colOff>
      <xdr:row>21</xdr:row>
      <xdr:rowOff>47625</xdr:rowOff>
    </xdr:from>
    <xdr:ext cx="6867525" cy="10687050"/>
    <xdr:pic>
      <xdr:nvPicPr>
        <xdr:cNvPr id="1" name="Image 1" descr=""/>
        <xdr:cNvPicPr>
          <a:picLocks noChangeAspect="1"/>
        </xdr:cNvPicPr>
      </xdr:nvPicPr>
      <xdr:blipFill>
        <a:blip xmlns:r="http://schemas.openxmlformats.org/officeDocument/2006/relationships" r:embed="rId1"/>
        <a:stretch>
          <a:fillRect/>
        </a:stretch>
      </xdr:blipFill>
      <xdr:spPr>
        <a:xfrm rot="0"/>
        <a:prstGeom prst="rect">
          <a:avLst/>
        </a:prstGeom>
        <a:effectLst>
          <a:outerShdw blurRad="295275" dist="142875" dir="2700000" algn="tl" rotWithShape="0">
            <a:srgbClr val="333333">
              <a:alpha val="65000"/>
            </a:srgbClr>
          </a:outerShdw>
        </a:effectLst>
      </xdr:spPr>
    </xdr:pic>
    <xdr:clientData/>
  </xdr:oneCellAnchor>
</xdr:wsDr>
</file>

<file path=xl/drawings/drawing2.xml><?xml version="1.0" encoding="utf-8"?>
<xdr:wsDr xmlns:xdr="http://schemas.openxmlformats.org/drawingml/2006/spreadsheetDrawing" xmlns:a="http://schemas.openxmlformats.org/drawingml/2006/main">
  <xdr:twoCellAnchor>
    <xdr:from>
      <xdr:col>1</xdr:col>
      <xdr:colOff>24848</xdr:colOff>
      <xdr:row>5</xdr:row>
      <xdr:rowOff>46263</xdr:rowOff>
    </xdr:from>
    <xdr:to>
      <xdr:col>12</xdr:col>
      <xdr:colOff>653777</xdr:colOff>
      <xdr:row>27</xdr:row>
      <xdr:rowOff>82705</xdr:rowOff>
    </xdr:to>
    <xdr:grpSp>
      <xdr:nvGrpSpPr>
        <xdr:cNvPr id="424" name="Groupe 423">
          <a:extLst>
            <a:ext uri="{FF2B5EF4-FFF2-40B4-BE49-F238E27FC236}">
              <a16:creationId xmlns:a16="http://schemas.microsoft.com/office/drawing/2014/main" id="{9633E906-6AC8-42DC-8EB6-9DB20B9BDC64}"/>
            </a:ext>
          </a:extLst>
        </xdr:cNvPr>
        <xdr:cNvGrpSpPr/>
      </xdr:nvGrpSpPr>
      <xdr:grpSpPr>
        <a:xfrm>
          <a:off x="859419" y="1044120"/>
          <a:ext cx="9809215" cy="4427014"/>
          <a:chOff x="5612847" y="263978"/>
          <a:chExt cx="9010929" cy="4027870"/>
        </a:xfrm>
      </xdr:grpSpPr>
      <xdr:sp macro="" textlink="">
        <xdr:nvSpPr>
          <xdr:cNvPr id="2" name="Rectangle 1">
            <a:extLst>
              <a:ext uri="{FF2B5EF4-FFF2-40B4-BE49-F238E27FC236}">
                <a16:creationId xmlns:a16="http://schemas.microsoft.com/office/drawing/2014/main" id="{873CAE0A-42F9-43A5-8EEA-256E373C7B83}"/>
              </a:ext>
            </a:extLst>
          </xdr:cNvPr>
          <xdr:cNvSpPr/>
        </xdr:nvSpPr>
        <xdr:spPr>
          <a:xfrm>
            <a:off x="13241884" y="2968372"/>
            <a:ext cx="1231900" cy="607786"/>
          </a:xfrm>
          <a:prstGeom prst="rect">
            <a:avLst/>
          </a:prstGeom>
          <a:noFill/>
          <a:ln w="2857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a:solidFill>
                  <a:schemeClr val="tx1"/>
                </a:solidFill>
              </a:rPr>
              <a:t>5</a:t>
            </a:r>
            <a:r>
              <a:rPr lang="fr-FR" sz="1100" baseline="0">
                <a:solidFill>
                  <a:schemeClr val="tx1"/>
                </a:solidFill>
              </a:rPr>
              <a:t>.Inv</a:t>
            </a:r>
            <a:endParaRPr lang="fr-FR" sz="1100">
              <a:solidFill>
                <a:schemeClr val="tx1"/>
              </a:solidFill>
            </a:endParaRPr>
          </a:p>
        </xdr:txBody>
      </xdr:sp>
      <xdr:cxnSp macro="">
        <xdr:nvCxnSpPr>
          <xdr:cNvPr id="4" name="Connecteur droit avec flèche 3">
            <a:extLst>
              <a:ext uri="{FF2B5EF4-FFF2-40B4-BE49-F238E27FC236}">
                <a16:creationId xmlns:a16="http://schemas.microsoft.com/office/drawing/2014/main" id="{95E898AF-EBE9-46B7-B1DC-587F5F483352}"/>
              </a:ext>
            </a:extLst>
          </xdr:cNvPr>
          <xdr:cNvCxnSpPr>
            <a:stCxn id="6" idx="1"/>
            <a:endCxn id="27" idx="3"/>
          </xdr:cNvCxnSpPr>
        </xdr:nvCxnSpPr>
        <xdr:spPr>
          <a:xfrm flipH="1">
            <a:off x="9153388" y="3273094"/>
            <a:ext cx="776792" cy="47128"/>
          </a:xfrm>
          <a:prstGeom prst="straightConnector1">
            <a:avLst/>
          </a:prstGeom>
          <a:ln w="28575">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5" name="Rectangle 4">
            <a:extLst>
              <a:ext uri="{FF2B5EF4-FFF2-40B4-BE49-F238E27FC236}">
                <a16:creationId xmlns:a16="http://schemas.microsoft.com/office/drawing/2014/main" id="{C9BA7D5F-A861-4F37-ABBB-0035AE28B900}"/>
              </a:ext>
            </a:extLst>
          </xdr:cNvPr>
          <xdr:cNvSpPr/>
        </xdr:nvSpPr>
        <xdr:spPr>
          <a:xfrm>
            <a:off x="11577431" y="2968368"/>
            <a:ext cx="1231900" cy="607786"/>
          </a:xfrm>
          <a:prstGeom prst="rect">
            <a:avLst/>
          </a:prstGeom>
          <a:noFill/>
          <a:ln w="2857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aseline="0">
                <a:solidFill>
                  <a:schemeClr val="tx1"/>
                </a:solidFill>
              </a:rPr>
              <a:t>6.Var.Inv</a:t>
            </a:r>
            <a:endParaRPr lang="fr-FR" sz="1100">
              <a:solidFill>
                <a:schemeClr val="tx1"/>
              </a:solidFill>
            </a:endParaRPr>
          </a:p>
        </xdr:txBody>
      </xdr:sp>
      <xdr:sp macro="" textlink="">
        <xdr:nvSpPr>
          <xdr:cNvPr id="6" name="Rectangle 5">
            <a:extLst>
              <a:ext uri="{FF2B5EF4-FFF2-40B4-BE49-F238E27FC236}">
                <a16:creationId xmlns:a16="http://schemas.microsoft.com/office/drawing/2014/main" id="{6E40C80F-38B8-4C80-8DF6-0950AA9EED62}"/>
              </a:ext>
            </a:extLst>
          </xdr:cNvPr>
          <xdr:cNvSpPr/>
        </xdr:nvSpPr>
        <xdr:spPr>
          <a:xfrm>
            <a:off x="9930180" y="2971134"/>
            <a:ext cx="1231900" cy="603920"/>
          </a:xfrm>
          <a:prstGeom prst="rect">
            <a:avLst/>
          </a:prstGeom>
          <a:noFill/>
          <a:ln w="2857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aseline="0">
                <a:solidFill>
                  <a:schemeClr val="tx1"/>
                </a:solidFill>
              </a:rPr>
              <a:t>7.Bud.Inv</a:t>
            </a:r>
            <a:endParaRPr lang="fr-FR" sz="1100">
              <a:solidFill>
                <a:schemeClr val="tx1"/>
              </a:solidFill>
            </a:endParaRPr>
          </a:p>
        </xdr:txBody>
      </xdr:sp>
      <xdr:sp macro="" textlink="">
        <xdr:nvSpPr>
          <xdr:cNvPr id="10" name="Rectangle 9">
            <a:extLst>
              <a:ext uri="{FF2B5EF4-FFF2-40B4-BE49-F238E27FC236}">
                <a16:creationId xmlns:a16="http://schemas.microsoft.com/office/drawing/2014/main" id="{C468AD27-DB4B-40A0-9B11-49CC08B57B92}"/>
              </a:ext>
            </a:extLst>
          </xdr:cNvPr>
          <xdr:cNvSpPr/>
        </xdr:nvSpPr>
        <xdr:spPr>
          <a:xfrm>
            <a:off x="5629688" y="2596042"/>
            <a:ext cx="1231900" cy="607785"/>
          </a:xfrm>
          <a:prstGeom prst="rect">
            <a:avLst/>
          </a:prstGeom>
          <a:noFill/>
          <a:ln w="28575">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aseline="0">
                <a:solidFill>
                  <a:schemeClr val="tx1"/>
                </a:solidFill>
              </a:rPr>
              <a:t>1.Var.Fin</a:t>
            </a:r>
            <a:endParaRPr lang="fr-FR" sz="1100">
              <a:solidFill>
                <a:schemeClr val="tx1"/>
              </a:solidFill>
            </a:endParaRPr>
          </a:p>
        </xdr:txBody>
      </xdr:sp>
      <xdr:sp macro="" textlink="">
        <xdr:nvSpPr>
          <xdr:cNvPr id="12" name="Rectangle 11">
            <a:extLst>
              <a:ext uri="{FF2B5EF4-FFF2-40B4-BE49-F238E27FC236}">
                <a16:creationId xmlns:a16="http://schemas.microsoft.com/office/drawing/2014/main" id="{7B83A572-FE69-4506-9F9A-C9C3413C6B11}"/>
              </a:ext>
            </a:extLst>
          </xdr:cNvPr>
          <xdr:cNvSpPr/>
        </xdr:nvSpPr>
        <xdr:spPr>
          <a:xfrm>
            <a:off x="5651777" y="304010"/>
            <a:ext cx="1231900" cy="605064"/>
          </a:xfrm>
          <a:prstGeom prst="rect">
            <a:avLst/>
          </a:prstGeom>
          <a:noFill/>
          <a:ln w="28575">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aseline="0">
                <a:solidFill>
                  <a:schemeClr val="tx1"/>
                </a:solidFill>
              </a:rPr>
              <a:t>2.Cal.Amo.CT</a:t>
            </a:r>
            <a:endParaRPr lang="fr-FR" sz="1100">
              <a:solidFill>
                <a:schemeClr val="tx1"/>
              </a:solidFill>
            </a:endParaRPr>
          </a:p>
        </xdr:txBody>
      </xdr:sp>
      <xdr:sp macro="" textlink="">
        <xdr:nvSpPr>
          <xdr:cNvPr id="13" name="Rectangle 12">
            <a:extLst>
              <a:ext uri="{FF2B5EF4-FFF2-40B4-BE49-F238E27FC236}">
                <a16:creationId xmlns:a16="http://schemas.microsoft.com/office/drawing/2014/main" id="{C799490C-6A86-475B-ACB9-4BA2734C6C0C}"/>
              </a:ext>
            </a:extLst>
          </xdr:cNvPr>
          <xdr:cNvSpPr/>
        </xdr:nvSpPr>
        <xdr:spPr>
          <a:xfrm>
            <a:off x="5655366" y="1017852"/>
            <a:ext cx="1231900" cy="605854"/>
          </a:xfrm>
          <a:prstGeom prst="rect">
            <a:avLst/>
          </a:prstGeom>
          <a:noFill/>
          <a:ln w="28575">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aseline="0">
                <a:solidFill>
                  <a:schemeClr val="tx1"/>
                </a:solidFill>
              </a:rPr>
              <a:t>3.Cal.Amo.LT</a:t>
            </a:r>
            <a:endParaRPr lang="fr-FR" sz="1100">
              <a:solidFill>
                <a:schemeClr val="tx1"/>
              </a:solidFill>
            </a:endParaRPr>
          </a:p>
        </xdr:txBody>
      </xdr:sp>
      <xdr:sp macro="" textlink="">
        <xdr:nvSpPr>
          <xdr:cNvPr id="14" name="Rectangle 13">
            <a:extLst>
              <a:ext uri="{FF2B5EF4-FFF2-40B4-BE49-F238E27FC236}">
                <a16:creationId xmlns:a16="http://schemas.microsoft.com/office/drawing/2014/main" id="{4A734E48-5609-4F42-9565-0D65528B2B74}"/>
              </a:ext>
            </a:extLst>
          </xdr:cNvPr>
          <xdr:cNvSpPr/>
        </xdr:nvSpPr>
        <xdr:spPr>
          <a:xfrm>
            <a:off x="5630794" y="1727828"/>
            <a:ext cx="1231900" cy="605854"/>
          </a:xfrm>
          <a:prstGeom prst="rect">
            <a:avLst/>
          </a:prstGeom>
          <a:noFill/>
          <a:ln w="28575">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aseline="0">
                <a:solidFill>
                  <a:schemeClr val="tx1"/>
                </a:solidFill>
              </a:rPr>
              <a:t>4.Cal.Amo.AI</a:t>
            </a:r>
            <a:endParaRPr lang="fr-FR" sz="1100">
              <a:solidFill>
                <a:schemeClr val="tx1"/>
              </a:solidFill>
            </a:endParaRPr>
          </a:p>
        </xdr:txBody>
      </xdr:sp>
      <xdr:sp macro="" textlink="">
        <xdr:nvSpPr>
          <xdr:cNvPr id="15" name="Rectangle 14">
            <a:extLst>
              <a:ext uri="{FF2B5EF4-FFF2-40B4-BE49-F238E27FC236}">
                <a16:creationId xmlns:a16="http://schemas.microsoft.com/office/drawing/2014/main" id="{E9B71CE7-B836-4D24-BC3D-69E1D0CF3C8B}"/>
              </a:ext>
            </a:extLst>
          </xdr:cNvPr>
          <xdr:cNvSpPr/>
        </xdr:nvSpPr>
        <xdr:spPr>
          <a:xfrm>
            <a:off x="13391876" y="282200"/>
            <a:ext cx="1231900" cy="603920"/>
          </a:xfrm>
          <a:prstGeom prst="rect">
            <a:avLst/>
          </a:prstGeom>
          <a:noFill/>
          <a:ln w="28575">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aseline="0">
                <a:solidFill>
                  <a:schemeClr val="tx1"/>
                </a:solidFill>
              </a:rPr>
              <a:t>8.Prod</a:t>
            </a:r>
            <a:endParaRPr lang="fr-FR" sz="1100">
              <a:solidFill>
                <a:schemeClr val="tx1"/>
              </a:solidFill>
            </a:endParaRPr>
          </a:p>
        </xdr:txBody>
      </xdr:sp>
      <xdr:sp macro="" textlink="">
        <xdr:nvSpPr>
          <xdr:cNvPr id="16" name="Rectangle 15">
            <a:extLst>
              <a:ext uri="{FF2B5EF4-FFF2-40B4-BE49-F238E27FC236}">
                <a16:creationId xmlns:a16="http://schemas.microsoft.com/office/drawing/2014/main" id="{9638BAB4-AAE6-42A4-A618-8ACC6A28107C}"/>
              </a:ext>
            </a:extLst>
          </xdr:cNvPr>
          <xdr:cNvSpPr/>
        </xdr:nvSpPr>
        <xdr:spPr>
          <a:xfrm>
            <a:off x="9951003" y="263978"/>
            <a:ext cx="1231900" cy="603920"/>
          </a:xfrm>
          <a:prstGeom prst="rect">
            <a:avLst/>
          </a:prstGeom>
          <a:noFill/>
          <a:ln w="28575">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aseline="0">
                <a:solidFill>
                  <a:schemeClr val="tx1"/>
                </a:solidFill>
              </a:rPr>
              <a:t>10.Vente</a:t>
            </a:r>
            <a:endParaRPr lang="fr-FR" sz="1100">
              <a:solidFill>
                <a:schemeClr val="tx1"/>
              </a:solidFill>
            </a:endParaRPr>
          </a:p>
        </xdr:txBody>
      </xdr:sp>
      <xdr:sp macro="" textlink="">
        <xdr:nvSpPr>
          <xdr:cNvPr id="17" name="Rectangle 16">
            <a:extLst>
              <a:ext uri="{FF2B5EF4-FFF2-40B4-BE49-F238E27FC236}">
                <a16:creationId xmlns:a16="http://schemas.microsoft.com/office/drawing/2014/main" id="{3711DE1E-EAD1-433E-8850-5A2850104E5B}"/>
              </a:ext>
            </a:extLst>
          </xdr:cNvPr>
          <xdr:cNvSpPr/>
        </xdr:nvSpPr>
        <xdr:spPr>
          <a:xfrm>
            <a:off x="11742529" y="270328"/>
            <a:ext cx="1231900" cy="603919"/>
          </a:xfrm>
          <a:prstGeom prst="rect">
            <a:avLst/>
          </a:prstGeom>
          <a:noFill/>
          <a:ln w="28575">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aseline="0">
                <a:solidFill>
                  <a:schemeClr val="tx1"/>
                </a:solidFill>
              </a:rPr>
              <a:t>9.Var.Vente</a:t>
            </a:r>
            <a:endParaRPr lang="fr-FR" sz="1100">
              <a:solidFill>
                <a:schemeClr val="tx1"/>
              </a:solidFill>
            </a:endParaRPr>
          </a:p>
        </xdr:txBody>
      </xdr:sp>
      <xdr:sp macro="" textlink="">
        <xdr:nvSpPr>
          <xdr:cNvPr id="18" name="Rectangle 17">
            <a:extLst>
              <a:ext uri="{FF2B5EF4-FFF2-40B4-BE49-F238E27FC236}">
                <a16:creationId xmlns:a16="http://schemas.microsoft.com/office/drawing/2014/main" id="{DF3E0B4E-9723-4A9E-B8F1-B5A7C4EAF04D}"/>
              </a:ext>
            </a:extLst>
          </xdr:cNvPr>
          <xdr:cNvSpPr/>
        </xdr:nvSpPr>
        <xdr:spPr>
          <a:xfrm>
            <a:off x="13381936" y="1174986"/>
            <a:ext cx="1231900" cy="607784"/>
          </a:xfrm>
          <a:prstGeom prst="rect">
            <a:avLst/>
          </a:prstGeom>
          <a:no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aseline="0">
                <a:solidFill>
                  <a:schemeClr val="tx1"/>
                </a:solidFill>
              </a:rPr>
              <a:t>11.Charges</a:t>
            </a:r>
            <a:endParaRPr lang="fr-FR" sz="1100">
              <a:solidFill>
                <a:schemeClr val="tx1"/>
              </a:solidFill>
            </a:endParaRPr>
          </a:p>
        </xdr:txBody>
      </xdr:sp>
      <xdr:sp macro="" textlink="">
        <xdr:nvSpPr>
          <xdr:cNvPr id="19" name="Rectangle 18">
            <a:extLst>
              <a:ext uri="{FF2B5EF4-FFF2-40B4-BE49-F238E27FC236}">
                <a16:creationId xmlns:a16="http://schemas.microsoft.com/office/drawing/2014/main" id="{08EACE75-408F-42BC-84C0-DD6A8DB72A27}"/>
              </a:ext>
            </a:extLst>
          </xdr:cNvPr>
          <xdr:cNvSpPr/>
        </xdr:nvSpPr>
        <xdr:spPr>
          <a:xfrm>
            <a:off x="9955974" y="1163114"/>
            <a:ext cx="1231900" cy="607785"/>
          </a:xfrm>
          <a:prstGeom prst="rect">
            <a:avLst/>
          </a:prstGeom>
          <a:no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aseline="0">
                <a:solidFill>
                  <a:schemeClr val="tx1"/>
                </a:solidFill>
              </a:rPr>
              <a:t>12.Char.Dir</a:t>
            </a:r>
            <a:endParaRPr lang="fr-FR" sz="1100">
              <a:solidFill>
                <a:schemeClr val="tx1"/>
              </a:solidFill>
            </a:endParaRPr>
          </a:p>
        </xdr:txBody>
      </xdr:sp>
      <xdr:sp macro="" textlink="">
        <xdr:nvSpPr>
          <xdr:cNvPr id="20" name="Rectangle 19">
            <a:extLst>
              <a:ext uri="{FF2B5EF4-FFF2-40B4-BE49-F238E27FC236}">
                <a16:creationId xmlns:a16="http://schemas.microsoft.com/office/drawing/2014/main" id="{3E010346-1522-4835-AD4F-529E6B6137ED}"/>
              </a:ext>
            </a:extLst>
          </xdr:cNvPr>
          <xdr:cNvSpPr/>
        </xdr:nvSpPr>
        <xdr:spPr>
          <a:xfrm>
            <a:off x="11646729" y="1175813"/>
            <a:ext cx="1231900" cy="609718"/>
          </a:xfrm>
          <a:prstGeom prst="rect">
            <a:avLst/>
          </a:prstGeom>
          <a:no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aseline="0">
                <a:solidFill>
                  <a:schemeClr val="tx1"/>
                </a:solidFill>
              </a:rPr>
              <a:t>13.Var.Char.Ind</a:t>
            </a:r>
            <a:endParaRPr lang="fr-FR" sz="1100">
              <a:solidFill>
                <a:schemeClr val="tx1"/>
              </a:solidFill>
            </a:endParaRPr>
          </a:p>
        </xdr:txBody>
      </xdr:sp>
      <xdr:sp macro="" textlink="">
        <xdr:nvSpPr>
          <xdr:cNvPr id="21" name="Rectangle 20">
            <a:extLst>
              <a:ext uri="{FF2B5EF4-FFF2-40B4-BE49-F238E27FC236}">
                <a16:creationId xmlns:a16="http://schemas.microsoft.com/office/drawing/2014/main" id="{7EB47F0F-85C7-43BE-892C-A6749FFC4B3F}"/>
              </a:ext>
            </a:extLst>
          </xdr:cNvPr>
          <xdr:cNvSpPr/>
        </xdr:nvSpPr>
        <xdr:spPr>
          <a:xfrm>
            <a:off x="9930261" y="2081028"/>
            <a:ext cx="1231900" cy="606997"/>
          </a:xfrm>
          <a:prstGeom prst="rect">
            <a:avLst/>
          </a:prstGeom>
          <a:no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aseline="0">
                <a:solidFill>
                  <a:schemeClr val="tx1"/>
                </a:solidFill>
              </a:rPr>
              <a:t>14.Char.Ind</a:t>
            </a:r>
            <a:endParaRPr lang="fr-FR" sz="1100">
              <a:solidFill>
                <a:schemeClr val="tx1"/>
              </a:solidFill>
            </a:endParaRPr>
          </a:p>
        </xdr:txBody>
      </xdr:sp>
      <xdr:sp macro="" textlink="">
        <xdr:nvSpPr>
          <xdr:cNvPr id="23" name="Rectangle 22">
            <a:extLst>
              <a:ext uri="{FF2B5EF4-FFF2-40B4-BE49-F238E27FC236}">
                <a16:creationId xmlns:a16="http://schemas.microsoft.com/office/drawing/2014/main" id="{A95A61FD-6358-4BC5-A75A-3921FF1BBA3A}"/>
              </a:ext>
            </a:extLst>
          </xdr:cNvPr>
          <xdr:cNvSpPr/>
        </xdr:nvSpPr>
        <xdr:spPr>
          <a:xfrm>
            <a:off x="7920108" y="323335"/>
            <a:ext cx="1231900" cy="606997"/>
          </a:xfrm>
          <a:prstGeom prst="rect">
            <a:avLst/>
          </a:prstGeom>
          <a:noFill/>
          <a:ln w="285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aseline="0">
                <a:solidFill>
                  <a:schemeClr val="tx1"/>
                </a:solidFill>
              </a:rPr>
              <a:t>15.Tre.Men</a:t>
            </a:r>
            <a:endParaRPr lang="fr-FR" sz="1100">
              <a:solidFill>
                <a:schemeClr val="tx1"/>
              </a:solidFill>
            </a:endParaRPr>
          </a:p>
        </xdr:txBody>
      </xdr:sp>
      <xdr:sp macro="" textlink="">
        <xdr:nvSpPr>
          <xdr:cNvPr id="24" name="Rectangle 23">
            <a:extLst>
              <a:ext uri="{FF2B5EF4-FFF2-40B4-BE49-F238E27FC236}">
                <a16:creationId xmlns:a16="http://schemas.microsoft.com/office/drawing/2014/main" id="{9E1FA3E7-41C8-47D3-8ED1-7450D3E796CF}"/>
              </a:ext>
            </a:extLst>
          </xdr:cNvPr>
          <xdr:cNvSpPr/>
        </xdr:nvSpPr>
        <xdr:spPr>
          <a:xfrm>
            <a:off x="7919832" y="997972"/>
            <a:ext cx="1231900" cy="607786"/>
          </a:xfrm>
          <a:prstGeom prst="rect">
            <a:avLst/>
          </a:prstGeom>
          <a:noFill/>
          <a:ln w="285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aseline="0">
                <a:solidFill>
                  <a:schemeClr val="tx1"/>
                </a:solidFill>
              </a:rPr>
              <a:t>16.CR</a:t>
            </a:r>
            <a:endParaRPr lang="fr-FR" sz="1100">
              <a:solidFill>
                <a:schemeClr val="tx1"/>
              </a:solidFill>
            </a:endParaRPr>
          </a:p>
        </xdr:txBody>
      </xdr:sp>
      <xdr:sp macro="" textlink="">
        <xdr:nvSpPr>
          <xdr:cNvPr id="25" name="Rectangle 24">
            <a:extLst>
              <a:ext uri="{FF2B5EF4-FFF2-40B4-BE49-F238E27FC236}">
                <a16:creationId xmlns:a16="http://schemas.microsoft.com/office/drawing/2014/main" id="{F66EE2C5-3342-4760-83E3-11E5E56CB900}"/>
              </a:ext>
            </a:extLst>
          </xdr:cNvPr>
          <xdr:cNvSpPr/>
        </xdr:nvSpPr>
        <xdr:spPr>
          <a:xfrm>
            <a:off x="7910721" y="1673991"/>
            <a:ext cx="1231900" cy="607786"/>
          </a:xfrm>
          <a:prstGeom prst="rect">
            <a:avLst/>
          </a:prstGeom>
          <a:noFill/>
          <a:ln w="285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aseline="0">
                <a:solidFill>
                  <a:schemeClr val="tx1"/>
                </a:solidFill>
              </a:rPr>
              <a:t>17.Tre.An</a:t>
            </a:r>
            <a:endParaRPr lang="fr-FR" sz="1100">
              <a:solidFill>
                <a:schemeClr val="tx1"/>
              </a:solidFill>
            </a:endParaRPr>
          </a:p>
        </xdr:txBody>
      </xdr:sp>
      <xdr:sp macro="" textlink="">
        <xdr:nvSpPr>
          <xdr:cNvPr id="26" name="Rectangle 25">
            <a:extLst>
              <a:ext uri="{FF2B5EF4-FFF2-40B4-BE49-F238E27FC236}">
                <a16:creationId xmlns:a16="http://schemas.microsoft.com/office/drawing/2014/main" id="{3C8F28C4-2582-4D57-86DB-25D92C349F71}"/>
              </a:ext>
            </a:extLst>
          </xdr:cNvPr>
          <xdr:cNvSpPr/>
        </xdr:nvSpPr>
        <xdr:spPr>
          <a:xfrm>
            <a:off x="7924248" y="3685994"/>
            <a:ext cx="1231900" cy="605854"/>
          </a:xfrm>
          <a:prstGeom prst="rect">
            <a:avLst/>
          </a:prstGeom>
          <a:noFill/>
          <a:ln w="285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aseline="0">
                <a:solidFill>
                  <a:schemeClr val="tx1"/>
                </a:solidFill>
              </a:rPr>
              <a:t>18.Van</a:t>
            </a:r>
            <a:endParaRPr lang="fr-FR" sz="1100">
              <a:solidFill>
                <a:schemeClr val="tx1"/>
              </a:solidFill>
            </a:endParaRPr>
          </a:p>
        </xdr:txBody>
      </xdr:sp>
      <xdr:sp macro="" textlink="">
        <xdr:nvSpPr>
          <xdr:cNvPr id="27" name="Rectangle 26">
            <a:extLst>
              <a:ext uri="{FF2B5EF4-FFF2-40B4-BE49-F238E27FC236}">
                <a16:creationId xmlns:a16="http://schemas.microsoft.com/office/drawing/2014/main" id="{9C164382-2BBF-4D2E-BECA-55BFFC2CD672}"/>
              </a:ext>
            </a:extLst>
          </xdr:cNvPr>
          <xdr:cNvSpPr/>
        </xdr:nvSpPr>
        <xdr:spPr>
          <a:xfrm>
            <a:off x="7921488" y="3016329"/>
            <a:ext cx="1231900" cy="607786"/>
          </a:xfrm>
          <a:prstGeom prst="rect">
            <a:avLst/>
          </a:prstGeom>
          <a:noFill/>
          <a:ln w="285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aseline="0">
                <a:solidFill>
                  <a:schemeClr val="tx1"/>
                </a:solidFill>
              </a:rPr>
              <a:t>19.Bilan</a:t>
            </a:r>
            <a:endParaRPr lang="fr-FR" sz="1100">
              <a:solidFill>
                <a:schemeClr val="tx1"/>
              </a:solidFill>
            </a:endParaRPr>
          </a:p>
        </xdr:txBody>
      </xdr:sp>
      <xdr:sp macro="" textlink="">
        <xdr:nvSpPr>
          <xdr:cNvPr id="28" name="Rectangle 27">
            <a:extLst>
              <a:ext uri="{FF2B5EF4-FFF2-40B4-BE49-F238E27FC236}">
                <a16:creationId xmlns:a16="http://schemas.microsoft.com/office/drawing/2014/main" id="{633D9852-9E7D-47AE-B250-A07BB1921A4E}"/>
              </a:ext>
            </a:extLst>
          </xdr:cNvPr>
          <xdr:cNvSpPr/>
        </xdr:nvSpPr>
        <xdr:spPr>
          <a:xfrm>
            <a:off x="7916795" y="2346932"/>
            <a:ext cx="1231900" cy="605065"/>
          </a:xfrm>
          <a:prstGeom prst="rect">
            <a:avLst/>
          </a:prstGeom>
          <a:noFill/>
          <a:ln w="285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aseline="0">
                <a:solidFill>
                  <a:schemeClr val="tx1"/>
                </a:solidFill>
              </a:rPr>
              <a:t>20.CR IFRS</a:t>
            </a:r>
            <a:endParaRPr lang="fr-FR" sz="1100">
              <a:solidFill>
                <a:schemeClr val="tx1"/>
              </a:solidFill>
            </a:endParaRPr>
          </a:p>
        </xdr:txBody>
      </xdr:sp>
      <xdr:sp macro="" textlink="">
        <xdr:nvSpPr>
          <xdr:cNvPr id="29" name="Rectangle 28">
            <a:extLst>
              <a:ext uri="{FF2B5EF4-FFF2-40B4-BE49-F238E27FC236}">
                <a16:creationId xmlns:a16="http://schemas.microsoft.com/office/drawing/2014/main" id="{0282C017-F651-496D-98DF-58DC4D7F05EB}"/>
              </a:ext>
            </a:extLst>
          </xdr:cNvPr>
          <xdr:cNvSpPr/>
        </xdr:nvSpPr>
        <xdr:spPr>
          <a:xfrm>
            <a:off x="5612848" y="3413419"/>
            <a:ext cx="1231900" cy="606997"/>
          </a:xfrm>
          <a:prstGeom prst="rect">
            <a:avLst/>
          </a:prstGeom>
          <a:noFill/>
          <a:ln w="28575">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aseline="0">
                <a:solidFill>
                  <a:schemeClr val="tx1"/>
                </a:solidFill>
              </a:rPr>
              <a:t>21.BFR</a:t>
            </a:r>
            <a:endParaRPr lang="fr-FR" sz="1100">
              <a:solidFill>
                <a:schemeClr val="tx1"/>
              </a:solidFill>
            </a:endParaRPr>
          </a:p>
        </xdr:txBody>
      </xdr:sp>
      <xdr:cxnSp macro="">
        <xdr:nvCxnSpPr>
          <xdr:cNvPr id="34" name="Connecteur droit avec flèche 33">
            <a:extLst>
              <a:ext uri="{FF2B5EF4-FFF2-40B4-BE49-F238E27FC236}">
                <a16:creationId xmlns:a16="http://schemas.microsoft.com/office/drawing/2014/main" id="{CA9DA7E3-D4C9-474D-AF3D-D493B2B6F212}"/>
              </a:ext>
            </a:extLst>
          </xdr:cNvPr>
          <xdr:cNvCxnSpPr>
            <a:stCxn id="12" idx="3"/>
            <a:endCxn id="23" idx="1"/>
          </xdr:cNvCxnSpPr>
        </xdr:nvCxnSpPr>
        <xdr:spPr>
          <a:xfrm>
            <a:off x="6883677" y="606542"/>
            <a:ext cx="1036431" cy="20292"/>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0" name="Connecteur droit avec flèche 39">
            <a:extLst>
              <a:ext uri="{FF2B5EF4-FFF2-40B4-BE49-F238E27FC236}">
                <a16:creationId xmlns:a16="http://schemas.microsoft.com/office/drawing/2014/main" id="{F43B1477-B0DA-452D-95EC-9A4BD219AA9E}"/>
              </a:ext>
            </a:extLst>
          </xdr:cNvPr>
          <xdr:cNvCxnSpPr>
            <a:stCxn id="12" idx="3"/>
            <a:endCxn id="24" idx="1"/>
          </xdr:cNvCxnSpPr>
        </xdr:nvCxnSpPr>
        <xdr:spPr>
          <a:xfrm>
            <a:off x="6883677" y="606542"/>
            <a:ext cx="1036155" cy="694928"/>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3" name="Connecteur droit avec flèche 42">
            <a:extLst>
              <a:ext uri="{FF2B5EF4-FFF2-40B4-BE49-F238E27FC236}">
                <a16:creationId xmlns:a16="http://schemas.microsoft.com/office/drawing/2014/main" id="{CE1E9A93-400A-4941-A420-669EF7018ADC}"/>
              </a:ext>
            </a:extLst>
          </xdr:cNvPr>
          <xdr:cNvCxnSpPr>
            <a:stCxn id="12" idx="3"/>
            <a:endCxn id="25" idx="1"/>
          </xdr:cNvCxnSpPr>
        </xdr:nvCxnSpPr>
        <xdr:spPr>
          <a:xfrm>
            <a:off x="6883677" y="606542"/>
            <a:ext cx="1027044" cy="1371737"/>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6" name="Connecteur droit avec flèche 45">
            <a:extLst>
              <a:ext uri="{FF2B5EF4-FFF2-40B4-BE49-F238E27FC236}">
                <a16:creationId xmlns:a16="http://schemas.microsoft.com/office/drawing/2014/main" id="{FB536263-1EC8-44EC-A533-CB63CCED5FA2}"/>
              </a:ext>
            </a:extLst>
          </xdr:cNvPr>
          <xdr:cNvCxnSpPr>
            <a:stCxn id="12" idx="3"/>
            <a:endCxn id="28" idx="1"/>
          </xdr:cNvCxnSpPr>
        </xdr:nvCxnSpPr>
        <xdr:spPr>
          <a:xfrm>
            <a:off x="6883677" y="606542"/>
            <a:ext cx="1033118" cy="2042923"/>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9" name="Connecteur droit avec flèche 48">
            <a:extLst>
              <a:ext uri="{FF2B5EF4-FFF2-40B4-BE49-F238E27FC236}">
                <a16:creationId xmlns:a16="http://schemas.microsoft.com/office/drawing/2014/main" id="{EF1D36D7-E6DA-4D2E-8149-7E4C67C6C11C}"/>
              </a:ext>
            </a:extLst>
          </xdr:cNvPr>
          <xdr:cNvCxnSpPr>
            <a:stCxn id="12" idx="3"/>
            <a:endCxn id="27" idx="1"/>
          </xdr:cNvCxnSpPr>
        </xdr:nvCxnSpPr>
        <xdr:spPr>
          <a:xfrm>
            <a:off x="6883677" y="606542"/>
            <a:ext cx="1037811" cy="2713285"/>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62" name="Connecteur droit avec flèche 61">
            <a:extLst>
              <a:ext uri="{FF2B5EF4-FFF2-40B4-BE49-F238E27FC236}">
                <a16:creationId xmlns:a16="http://schemas.microsoft.com/office/drawing/2014/main" id="{629F14A7-CFF4-43B7-965A-87865B0F6EC2}"/>
              </a:ext>
            </a:extLst>
          </xdr:cNvPr>
          <xdr:cNvCxnSpPr>
            <a:stCxn id="13" idx="3"/>
            <a:endCxn id="23" idx="1"/>
          </xdr:cNvCxnSpPr>
        </xdr:nvCxnSpPr>
        <xdr:spPr>
          <a:xfrm flipV="1">
            <a:off x="6887266" y="626834"/>
            <a:ext cx="1032842" cy="693550"/>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65" name="Connecteur droit avec flèche 64">
            <a:extLst>
              <a:ext uri="{FF2B5EF4-FFF2-40B4-BE49-F238E27FC236}">
                <a16:creationId xmlns:a16="http://schemas.microsoft.com/office/drawing/2014/main" id="{6651D1EF-105C-4E96-A149-EF739E2675B7}"/>
              </a:ext>
            </a:extLst>
          </xdr:cNvPr>
          <xdr:cNvCxnSpPr>
            <a:stCxn id="13" idx="3"/>
            <a:endCxn id="24" idx="1"/>
          </xdr:cNvCxnSpPr>
        </xdr:nvCxnSpPr>
        <xdr:spPr>
          <a:xfrm flipV="1">
            <a:off x="6887266" y="1301470"/>
            <a:ext cx="1032566" cy="18914"/>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68" name="Connecteur droit avec flèche 67">
            <a:extLst>
              <a:ext uri="{FF2B5EF4-FFF2-40B4-BE49-F238E27FC236}">
                <a16:creationId xmlns:a16="http://schemas.microsoft.com/office/drawing/2014/main" id="{B528AD08-3F3A-4ED2-ADDA-5D86039BD762}"/>
              </a:ext>
            </a:extLst>
          </xdr:cNvPr>
          <xdr:cNvCxnSpPr>
            <a:stCxn id="13" idx="3"/>
            <a:endCxn id="25" idx="1"/>
          </xdr:cNvCxnSpPr>
        </xdr:nvCxnSpPr>
        <xdr:spPr>
          <a:xfrm>
            <a:off x="6887266" y="1320384"/>
            <a:ext cx="1023455" cy="657895"/>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1" name="Connecteur droit avec flèche 70">
            <a:extLst>
              <a:ext uri="{FF2B5EF4-FFF2-40B4-BE49-F238E27FC236}">
                <a16:creationId xmlns:a16="http://schemas.microsoft.com/office/drawing/2014/main" id="{4BB23AC7-0681-48E7-83FF-92C9830BC9F4}"/>
              </a:ext>
            </a:extLst>
          </xdr:cNvPr>
          <xdr:cNvCxnSpPr>
            <a:stCxn id="13" idx="3"/>
            <a:endCxn id="28" idx="1"/>
          </xdr:cNvCxnSpPr>
        </xdr:nvCxnSpPr>
        <xdr:spPr>
          <a:xfrm>
            <a:off x="6887266" y="1320384"/>
            <a:ext cx="1029529" cy="1329081"/>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4" name="Connecteur droit avec flèche 73">
            <a:extLst>
              <a:ext uri="{FF2B5EF4-FFF2-40B4-BE49-F238E27FC236}">
                <a16:creationId xmlns:a16="http://schemas.microsoft.com/office/drawing/2014/main" id="{663FE808-D62F-463B-876E-B9EEBB7255B5}"/>
              </a:ext>
            </a:extLst>
          </xdr:cNvPr>
          <xdr:cNvCxnSpPr>
            <a:stCxn id="13" idx="3"/>
            <a:endCxn id="27" idx="1"/>
          </xdr:cNvCxnSpPr>
        </xdr:nvCxnSpPr>
        <xdr:spPr>
          <a:xfrm>
            <a:off x="6887266" y="1320384"/>
            <a:ext cx="1034222" cy="1999443"/>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83" name="Connecteur droit avec flèche 82">
            <a:extLst>
              <a:ext uri="{FF2B5EF4-FFF2-40B4-BE49-F238E27FC236}">
                <a16:creationId xmlns:a16="http://schemas.microsoft.com/office/drawing/2014/main" id="{16B8EB02-7F29-4D1C-A7D9-AD4AACAC6273}"/>
              </a:ext>
            </a:extLst>
          </xdr:cNvPr>
          <xdr:cNvCxnSpPr>
            <a:stCxn id="14" idx="3"/>
            <a:endCxn id="27" idx="1"/>
          </xdr:cNvCxnSpPr>
        </xdr:nvCxnSpPr>
        <xdr:spPr>
          <a:xfrm>
            <a:off x="6862694" y="2030361"/>
            <a:ext cx="1058794" cy="1289466"/>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86" name="Connecteur droit avec flèche 85">
            <a:extLst>
              <a:ext uri="{FF2B5EF4-FFF2-40B4-BE49-F238E27FC236}">
                <a16:creationId xmlns:a16="http://schemas.microsoft.com/office/drawing/2014/main" id="{AA2A8BD6-180A-4814-BFF2-CDC13C2D06B0}"/>
              </a:ext>
            </a:extLst>
          </xdr:cNvPr>
          <xdr:cNvCxnSpPr>
            <a:stCxn id="14" idx="3"/>
            <a:endCxn id="28" idx="1"/>
          </xdr:cNvCxnSpPr>
        </xdr:nvCxnSpPr>
        <xdr:spPr>
          <a:xfrm>
            <a:off x="6862694" y="2030361"/>
            <a:ext cx="1054101" cy="619104"/>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89" name="Connecteur droit avec flèche 88">
            <a:extLst>
              <a:ext uri="{FF2B5EF4-FFF2-40B4-BE49-F238E27FC236}">
                <a16:creationId xmlns:a16="http://schemas.microsoft.com/office/drawing/2014/main" id="{DB2199CA-B27D-43B8-B9D2-11E02591AEC2}"/>
              </a:ext>
            </a:extLst>
          </xdr:cNvPr>
          <xdr:cNvCxnSpPr>
            <a:stCxn id="14" idx="3"/>
            <a:endCxn id="25" idx="1"/>
          </xdr:cNvCxnSpPr>
        </xdr:nvCxnSpPr>
        <xdr:spPr>
          <a:xfrm flipV="1">
            <a:off x="6862694" y="1978279"/>
            <a:ext cx="1048027" cy="52082"/>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92" name="Connecteur droit avec flèche 91">
            <a:extLst>
              <a:ext uri="{FF2B5EF4-FFF2-40B4-BE49-F238E27FC236}">
                <a16:creationId xmlns:a16="http://schemas.microsoft.com/office/drawing/2014/main" id="{D3D589B0-42ED-4DC3-BE4F-868F187A9FDB}"/>
              </a:ext>
            </a:extLst>
          </xdr:cNvPr>
          <xdr:cNvCxnSpPr>
            <a:stCxn id="14" idx="3"/>
            <a:endCxn id="24" idx="1"/>
          </xdr:cNvCxnSpPr>
        </xdr:nvCxnSpPr>
        <xdr:spPr>
          <a:xfrm flipV="1">
            <a:off x="6862694" y="1301470"/>
            <a:ext cx="1057138" cy="728891"/>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95" name="Connecteur droit avec flèche 94">
            <a:extLst>
              <a:ext uri="{FF2B5EF4-FFF2-40B4-BE49-F238E27FC236}">
                <a16:creationId xmlns:a16="http://schemas.microsoft.com/office/drawing/2014/main" id="{CA0348C5-5D04-48BD-B8F6-2F3DC755F79F}"/>
              </a:ext>
            </a:extLst>
          </xdr:cNvPr>
          <xdr:cNvCxnSpPr>
            <a:stCxn id="14" idx="3"/>
            <a:endCxn id="23" idx="1"/>
          </xdr:cNvCxnSpPr>
        </xdr:nvCxnSpPr>
        <xdr:spPr>
          <a:xfrm flipV="1">
            <a:off x="6862694" y="626834"/>
            <a:ext cx="1057414" cy="1403527"/>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64" name="Connecteur droit avec flèche 163">
            <a:extLst>
              <a:ext uri="{FF2B5EF4-FFF2-40B4-BE49-F238E27FC236}">
                <a16:creationId xmlns:a16="http://schemas.microsoft.com/office/drawing/2014/main" id="{351D6AD9-99B7-443B-935E-7C9301F35A2F}"/>
              </a:ext>
            </a:extLst>
          </xdr:cNvPr>
          <xdr:cNvCxnSpPr>
            <a:stCxn id="19" idx="1"/>
            <a:endCxn id="23" idx="3"/>
          </xdr:cNvCxnSpPr>
        </xdr:nvCxnSpPr>
        <xdr:spPr>
          <a:xfrm flipH="1" flipV="1">
            <a:off x="9152008" y="626834"/>
            <a:ext cx="803966" cy="839779"/>
          </a:xfrm>
          <a:prstGeom prst="straightConnector1">
            <a:avLst/>
          </a:prstGeom>
          <a:ln w="28575">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65" name="Connecteur droit avec flèche 164">
            <a:extLst>
              <a:ext uri="{FF2B5EF4-FFF2-40B4-BE49-F238E27FC236}">
                <a16:creationId xmlns:a16="http://schemas.microsoft.com/office/drawing/2014/main" id="{F6E0A5D3-2B16-4E9A-9A48-148001600E16}"/>
              </a:ext>
            </a:extLst>
          </xdr:cNvPr>
          <xdr:cNvCxnSpPr>
            <a:stCxn id="18" idx="1"/>
            <a:endCxn id="20" idx="3"/>
          </xdr:cNvCxnSpPr>
        </xdr:nvCxnSpPr>
        <xdr:spPr>
          <a:xfrm flipH="1">
            <a:off x="12878629" y="1478485"/>
            <a:ext cx="503307" cy="1794"/>
          </a:xfrm>
          <a:prstGeom prst="straightConnector1">
            <a:avLst/>
          </a:prstGeom>
          <a:ln w="28575">
            <a:solidFill>
              <a:srgbClr val="C00000"/>
            </a:solidFill>
            <a:prstDash val="lg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72" name="Connecteur droit avec flèche 171">
            <a:extLst>
              <a:ext uri="{FF2B5EF4-FFF2-40B4-BE49-F238E27FC236}">
                <a16:creationId xmlns:a16="http://schemas.microsoft.com/office/drawing/2014/main" id="{1014152C-68AA-40EC-9F74-34EBF87EFAE7}"/>
              </a:ext>
            </a:extLst>
          </xdr:cNvPr>
          <xdr:cNvCxnSpPr>
            <a:stCxn id="19" idx="1"/>
            <a:endCxn id="24" idx="3"/>
          </xdr:cNvCxnSpPr>
        </xdr:nvCxnSpPr>
        <xdr:spPr>
          <a:xfrm flipH="1" flipV="1">
            <a:off x="9151732" y="1301470"/>
            <a:ext cx="804242" cy="165143"/>
          </a:xfrm>
          <a:prstGeom prst="straightConnector1">
            <a:avLst/>
          </a:prstGeom>
          <a:ln w="28575">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75" name="Connecteur droit avec flèche 174">
            <a:extLst>
              <a:ext uri="{FF2B5EF4-FFF2-40B4-BE49-F238E27FC236}">
                <a16:creationId xmlns:a16="http://schemas.microsoft.com/office/drawing/2014/main" id="{5ED33A1E-87AD-4752-A724-607220961B29}"/>
              </a:ext>
            </a:extLst>
          </xdr:cNvPr>
          <xdr:cNvCxnSpPr>
            <a:stCxn id="19" idx="1"/>
            <a:endCxn id="25" idx="3"/>
          </xdr:cNvCxnSpPr>
        </xdr:nvCxnSpPr>
        <xdr:spPr>
          <a:xfrm flipH="1">
            <a:off x="9142621" y="1466613"/>
            <a:ext cx="813353" cy="511666"/>
          </a:xfrm>
          <a:prstGeom prst="straightConnector1">
            <a:avLst/>
          </a:prstGeom>
          <a:ln w="28575">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78" name="Connecteur droit avec flèche 177">
            <a:extLst>
              <a:ext uri="{FF2B5EF4-FFF2-40B4-BE49-F238E27FC236}">
                <a16:creationId xmlns:a16="http://schemas.microsoft.com/office/drawing/2014/main" id="{CB157D22-A864-474C-B227-55FB6F8ADF75}"/>
              </a:ext>
            </a:extLst>
          </xdr:cNvPr>
          <xdr:cNvCxnSpPr>
            <a:stCxn id="19" idx="1"/>
            <a:endCxn id="28" idx="3"/>
          </xdr:cNvCxnSpPr>
        </xdr:nvCxnSpPr>
        <xdr:spPr>
          <a:xfrm flipH="1">
            <a:off x="9148695" y="1466613"/>
            <a:ext cx="807279" cy="1182852"/>
          </a:xfrm>
          <a:prstGeom prst="straightConnector1">
            <a:avLst/>
          </a:prstGeom>
          <a:ln w="28575">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81" name="Connecteur droit avec flèche 180">
            <a:extLst>
              <a:ext uri="{FF2B5EF4-FFF2-40B4-BE49-F238E27FC236}">
                <a16:creationId xmlns:a16="http://schemas.microsoft.com/office/drawing/2014/main" id="{5B0056BD-6F5E-4356-BFC1-32BD03E8A18F}"/>
              </a:ext>
            </a:extLst>
          </xdr:cNvPr>
          <xdr:cNvCxnSpPr>
            <a:stCxn id="19" idx="1"/>
            <a:endCxn id="27" idx="3"/>
          </xdr:cNvCxnSpPr>
        </xdr:nvCxnSpPr>
        <xdr:spPr>
          <a:xfrm flipH="1">
            <a:off x="9153388" y="1466613"/>
            <a:ext cx="802586" cy="1853214"/>
          </a:xfrm>
          <a:prstGeom prst="straightConnector1">
            <a:avLst/>
          </a:prstGeom>
          <a:ln w="28575">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4" name="Connecteur droit avec flèche 193">
            <a:extLst>
              <a:ext uri="{FF2B5EF4-FFF2-40B4-BE49-F238E27FC236}">
                <a16:creationId xmlns:a16="http://schemas.microsoft.com/office/drawing/2014/main" id="{4AE1CF31-0694-4484-AC25-5F21203AB245}"/>
              </a:ext>
            </a:extLst>
          </xdr:cNvPr>
          <xdr:cNvCxnSpPr>
            <a:stCxn id="21" idx="1"/>
            <a:endCxn id="27" idx="3"/>
          </xdr:cNvCxnSpPr>
        </xdr:nvCxnSpPr>
        <xdr:spPr>
          <a:xfrm flipH="1">
            <a:off x="9153388" y="2384527"/>
            <a:ext cx="776873" cy="935695"/>
          </a:xfrm>
          <a:prstGeom prst="straightConnector1">
            <a:avLst/>
          </a:prstGeom>
          <a:ln w="28575">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5" name="Connecteur droit avec flèche 194">
            <a:extLst>
              <a:ext uri="{FF2B5EF4-FFF2-40B4-BE49-F238E27FC236}">
                <a16:creationId xmlns:a16="http://schemas.microsoft.com/office/drawing/2014/main" id="{A2904903-2AA0-4E84-BC61-527CE7E1FA84}"/>
              </a:ext>
            </a:extLst>
          </xdr:cNvPr>
          <xdr:cNvCxnSpPr>
            <a:stCxn id="21" idx="1"/>
            <a:endCxn id="28" idx="3"/>
          </xdr:cNvCxnSpPr>
        </xdr:nvCxnSpPr>
        <xdr:spPr>
          <a:xfrm flipH="1">
            <a:off x="9148695" y="2384527"/>
            <a:ext cx="781566" cy="264938"/>
          </a:xfrm>
          <a:prstGeom prst="straightConnector1">
            <a:avLst/>
          </a:prstGeom>
          <a:ln w="28575">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6" name="Connecteur droit avec flèche 195">
            <a:extLst>
              <a:ext uri="{FF2B5EF4-FFF2-40B4-BE49-F238E27FC236}">
                <a16:creationId xmlns:a16="http://schemas.microsoft.com/office/drawing/2014/main" id="{65C7E4D8-AFE4-4B14-AED6-705331FD4BD4}"/>
              </a:ext>
            </a:extLst>
          </xdr:cNvPr>
          <xdr:cNvCxnSpPr>
            <a:stCxn id="21" idx="1"/>
            <a:endCxn id="25" idx="3"/>
          </xdr:cNvCxnSpPr>
        </xdr:nvCxnSpPr>
        <xdr:spPr>
          <a:xfrm flipH="1" flipV="1">
            <a:off x="9142621" y="1977884"/>
            <a:ext cx="787640" cy="406643"/>
          </a:xfrm>
          <a:prstGeom prst="straightConnector1">
            <a:avLst/>
          </a:prstGeom>
          <a:ln w="28575">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04" name="Connecteur droit avec flèche 203">
            <a:extLst>
              <a:ext uri="{FF2B5EF4-FFF2-40B4-BE49-F238E27FC236}">
                <a16:creationId xmlns:a16="http://schemas.microsoft.com/office/drawing/2014/main" id="{F2F8E9A4-A28F-4312-B03E-7F8E1BD414EF}"/>
              </a:ext>
            </a:extLst>
          </xdr:cNvPr>
          <xdr:cNvCxnSpPr>
            <a:stCxn id="21" idx="1"/>
            <a:endCxn id="24" idx="3"/>
          </xdr:cNvCxnSpPr>
        </xdr:nvCxnSpPr>
        <xdr:spPr>
          <a:xfrm flipH="1" flipV="1">
            <a:off x="9151732" y="1301865"/>
            <a:ext cx="778529" cy="1082662"/>
          </a:xfrm>
          <a:prstGeom prst="straightConnector1">
            <a:avLst/>
          </a:prstGeom>
          <a:ln w="28575">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07" name="Connecteur droit avec flèche 206">
            <a:extLst>
              <a:ext uri="{FF2B5EF4-FFF2-40B4-BE49-F238E27FC236}">
                <a16:creationId xmlns:a16="http://schemas.microsoft.com/office/drawing/2014/main" id="{56AFC346-57AF-4FA3-869D-239FE957BC89}"/>
              </a:ext>
            </a:extLst>
          </xdr:cNvPr>
          <xdr:cNvCxnSpPr>
            <a:stCxn id="21" idx="1"/>
            <a:endCxn id="23" idx="3"/>
          </xdr:cNvCxnSpPr>
        </xdr:nvCxnSpPr>
        <xdr:spPr>
          <a:xfrm flipH="1" flipV="1">
            <a:off x="9152008" y="626834"/>
            <a:ext cx="778253" cy="1757693"/>
          </a:xfrm>
          <a:prstGeom prst="straightConnector1">
            <a:avLst/>
          </a:prstGeom>
          <a:ln w="28575">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40" name="Connecteur droit avec flèche 239">
            <a:extLst>
              <a:ext uri="{FF2B5EF4-FFF2-40B4-BE49-F238E27FC236}">
                <a16:creationId xmlns:a16="http://schemas.microsoft.com/office/drawing/2014/main" id="{5D9F7ECF-FF32-429D-967C-B71FE1EB83A3}"/>
              </a:ext>
            </a:extLst>
          </xdr:cNvPr>
          <xdr:cNvCxnSpPr>
            <a:stCxn id="17" idx="1"/>
            <a:endCxn id="16" idx="3"/>
          </xdr:cNvCxnSpPr>
        </xdr:nvCxnSpPr>
        <xdr:spPr>
          <a:xfrm flipH="1" flipV="1">
            <a:off x="11182903" y="565544"/>
            <a:ext cx="559626" cy="6350"/>
          </a:xfrm>
          <a:prstGeom prst="straightConnector1">
            <a:avLst/>
          </a:prstGeom>
          <a:ln w="28575">
            <a:solidFill>
              <a:srgbClr val="FFFF00"/>
            </a:solidFill>
            <a:prstDash val="lg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44" name="Connecteur droit avec flèche 243">
            <a:extLst>
              <a:ext uri="{FF2B5EF4-FFF2-40B4-BE49-F238E27FC236}">
                <a16:creationId xmlns:a16="http://schemas.microsoft.com/office/drawing/2014/main" id="{32D93DD1-F1DF-4507-975B-7D6A5F33C3B7}"/>
              </a:ext>
            </a:extLst>
          </xdr:cNvPr>
          <xdr:cNvCxnSpPr>
            <a:stCxn id="15" idx="1"/>
            <a:endCxn id="17" idx="3"/>
          </xdr:cNvCxnSpPr>
        </xdr:nvCxnSpPr>
        <xdr:spPr>
          <a:xfrm flipH="1" flipV="1">
            <a:off x="12974429" y="571894"/>
            <a:ext cx="417447" cy="11872"/>
          </a:xfrm>
          <a:prstGeom prst="straightConnector1">
            <a:avLst/>
          </a:prstGeom>
          <a:ln w="28575">
            <a:solidFill>
              <a:srgbClr val="FFFF00"/>
            </a:solidFill>
            <a:prstDash val="lg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55" name="Connecteur droit avec flèche 254">
            <a:extLst>
              <a:ext uri="{FF2B5EF4-FFF2-40B4-BE49-F238E27FC236}">
                <a16:creationId xmlns:a16="http://schemas.microsoft.com/office/drawing/2014/main" id="{09568A34-D24C-4694-A91D-499DD2A8E574}"/>
              </a:ext>
            </a:extLst>
          </xdr:cNvPr>
          <xdr:cNvCxnSpPr>
            <a:stCxn id="20" idx="1"/>
            <a:endCxn id="19" idx="3"/>
          </xdr:cNvCxnSpPr>
        </xdr:nvCxnSpPr>
        <xdr:spPr>
          <a:xfrm flipH="1" flipV="1">
            <a:off x="11187874" y="1466613"/>
            <a:ext cx="458855" cy="13666"/>
          </a:xfrm>
          <a:prstGeom prst="straightConnector1">
            <a:avLst/>
          </a:prstGeom>
          <a:ln w="28575">
            <a:solidFill>
              <a:srgbClr val="C00000"/>
            </a:solidFill>
            <a:prstDash val="lg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58" name="Connecteur droit avec flèche 257">
            <a:extLst>
              <a:ext uri="{FF2B5EF4-FFF2-40B4-BE49-F238E27FC236}">
                <a16:creationId xmlns:a16="http://schemas.microsoft.com/office/drawing/2014/main" id="{186E848D-FDCA-4F47-817E-8AAA77527302}"/>
              </a:ext>
            </a:extLst>
          </xdr:cNvPr>
          <xdr:cNvCxnSpPr>
            <a:stCxn id="2" idx="1"/>
            <a:endCxn id="5" idx="3"/>
          </xdr:cNvCxnSpPr>
        </xdr:nvCxnSpPr>
        <xdr:spPr>
          <a:xfrm flipH="1" flipV="1">
            <a:off x="12809331" y="3272261"/>
            <a:ext cx="432553" cy="4"/>
          </a:xfrm>
          <a:prstGeom prst="straightConnector1">
            <a:avLst/>
          </a:prstGeom>
          <a:ln w="28575">
            <a:solidFill>
              <a:srgbClr val="00B050"/>
            </a:solidFill>
            <a:prstDash val="lg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61" name="Connecteur droit avec flèche 260">
            <a:extLst>
              <a:ext uri="{FF2B5EF4-FFF2-40B4-BE49-F238E27FC236}">
                <a16:creationId xmlns:a16="http://schemas.microsoft.com/office/drawing/2014/main" id="{6F2685C7-C51D-4EF7-A8D0-F8C2F11C17B3}"/>
              </a:ext>
            </a:extLst>
          </xdr:cNvPr>
          <xdr:cNvCxnSpPr>
            <a:stCxn id="5" idx="1"/>
            <a:endCxn id="6" idx="3"/>
          </xdr:cNvCxnSpPr>
        </xdr:nvCxnSpPr>
        <xdr:spPr>
          <a:xfrm flipH="1">
            <a:off x="11162080" y="3272261"/>
            <a:ext cx="415351" cy="833"/>
          </a:xfrm>
          <a:prstGeom prst="straightConnector1">
            <a:avLst/>
          </a:prstGeom>
          <a:ln w="28575">
            <a:solidFill>
              <a:srgbClr val="00B050"/>
            </a:solidFill>
            <a:prstDash val="lg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68" name="Connecteur droit avec flèche 267">
            <a:extLst>
              <a:ext uri="{FF2B5EF4-FFF2-40B4-BE49-F238E27FC236}">
                <a16:creationId xmlns:a16="http://schemas.microsoft.com/office/drawing/2014/main" id="{1B802827-86FB-4B15-80B0-693FFFEF4A71}"/>
              </a:ext>
            </a:extLst>
          </xdr:cNvPr>
          <xdr:cNvCxnSpPr>
            <a:stCxn id="6" idx="1"/>
            <a:endCxn id="25" idx="3"/>
          </xdr:cNvCxnSpPr>
        </xdr:nvCxnSpPr>
        <xdr:spPr>
          <a:xfrm flipH="1" flipV="1">
            <a:off x="9142621" y="1977884"/>
            <a:ext cx="787559" cy="1295210"/>
          </a:xfrm>
          <a:prstGeom prst="straightConnector1">
            <a:avLst/>
          </a:prstGeom>
          <a:ln w="28575">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71" name="Connecteur droit avec flèche 270">
            <a:extLst>
              <a:ext uri="{FF2B5EF4-FFF2-40B4-BE49-F238E27FC236}">
                <a16:creationId xmlns:a16="http://schemas.microsoft.com/office/drawing/2014/main" id="{301E9C78-2B4B-4A43-BA27-F520033FE4C2}"/>
              </a:ext>
            </a:extLst>
          </xdr:cNvPr>
          <xdr:cNvCxnSpPr>
            <a:stCxn id="6" idx="1"/>
            <a:endCxn id="23" idx="3"/>
          </xdr:cNvCxnSpPr>
        </xdr:nvCxnSpPr>
        <xdr:spPr>
          <a:xfrm flipH="1" flipV="1">
            <a:off x="9152008" y="626834"/>
            <a:ext cx="778172" cy="2646260"/>
          </a:xfrm>
          <a:prstGeom prst="straightConnector1">
            <a:avLst/>
          </a:prstGeom>
          <a:ln w="28575">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77" name="Connecteur : en angle 276">
            <a:extLst>
              <a:ext uri="{FF2B5EF4-FFF2-40B4-BE49-F238E27FC236}">
                <a16:creationId xmlns:a16="http://schemas.microsoft.com/office/drawing/2014/main" id="{51461FD0-64FD-4A3A-BA72-5A99617A10FD}"/>
              </a:ext>
            </a:extLst>
          </xdr:cNvPr>
          <xdr:cNvCxnSpPr>
            <a:stCxn id="24" idx="1"/>
            <a:endCxn id="26" idx="1"/>
          </xdr:cNvCxnSpPr>
        </xdr:nvCxnSpPr>
        <xdr:spPr>
          <a:xfrm rot="10800000" flipH="1" flipV="1">
            <a:off x="7919832" y="1301469"/>
            <a:ext cx="4416" cy="2687846"/>
          </a:xfrm>
          <a:prstGeom prst="bentConnector3">
            <a:avLst>
              <a:gd name="adj1" fmla="val -5176630"/>
            </a:avLst>
          </a:prstGeom>
          <a:ln w="28575">
            <a:solidFill>
              <a:srgbClr val="7030A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81" name="Connecteur : en angle 280">
            <a:extLst>
              <a:ext uri="{FF2B5EF4-FFF2-40B4-BE49-F238E27FC236}">
                <a16:creationId xmlns:a16="http://schemas.microsoft.com/office/drawing/2014/main" id="{3038268D-0D97-4ED4-8F70-9B5185B2C532}"/>
              </a:ext>
            </a:extLst>
          </xdr:cNvPr>
          <xdr:cNvCxnSpPr>
            <a:stCxn id="25" idx="1"/>
            <a:endCxn id="26" idx="1"/>
          </xdr:cNvCxnSpPr>
        </xdr:nvCxnSpPr>
        <xdr:spPr>
          <a:xfrm rot="10800000" flipH="1" flipV="1">
            <a:off x="7910720" y="1978279"/>
            <a:ext cx="13527" cy="2011037"/>
          </a:xfrm>
          <a:prstGeom prst="bentConnector3">
            <a:avLst>
              <a:gd name="adj1" fmla="val -1689953"/>
            </a:avLst>
          </a:prstGeom>
          <a:ln w="28575">
            <a:solidFill>
              <a:srgbClr val="7030A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85" name="Connecteur : en angle 284">
            <a:extLst>
              <a:ext uri="{FF2B5EF4-FFF2-40B4-BE49-F238E27FC236}">
                <a16:creationId xmlns:a16="http://schemas.microsoft.com/office/drawing/2014/main" id="{F8F9E179-044A-4B74-A070-25B6A309FAC6}"/>
              </a:ext>
            </a:extLst>
          </xdr:cNvPr>
          <xdr:cNvCxnSpPr>
            <a:stCxn id="25" idx="1"/>
            <a:endCxn id="27" idx="1"/>
          </xdr:cNvCxnSpPr>
        </xdr:nvCxnSpPr>
        <xdr:spPr>
          <a:xfrm rot="10800000" flipH="1" flipV="1">
            <a:off x="7910720" y="1978278"/>
            <a:ext cx="10767" cy="1341548"/>
          </a:xfrm>
          <a:prstGeom prst="bentConnector3">
            <a:avLst>
              <a:gd name="adj1" fmla="val -2123154"/>
            </a:avLst>
          </a:prstGeom>
          <a:ln w="28575">
            <a:solidFill>
              <a:srgbClr val="7030A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89" name="Connecteur : en angle 288">
            <a:extLst>
              <a:ext uri="{FF2B5EF4-FFF2-40B4-BE49-F238E27FC236}">
                <a16:creationId xmlns:a16="http://schemas.microsoft.com/office/drawing/2014/main" id="{C9603172-F763-4FCB-925F-CEF933187945}"/>
              </a:ext>
            </a:extLst>
          </xdr:cNvPr>
          <xdr:cNvCxnSpPr>
            <a:stCxn id="24" idx="1"/>
            <a:endCxn id="27" idx="1"/>
          </xdr:cNvCxnSpPr>
        </xdr:nvCxnSpPr>
        <xdr:spPr>
          <a:xfrm rot="10800000" flipH="1" flipV="1">
            <a:off x="7919832" y="1301470"/>
            <a:ext cx="1656" cy="2018357"/>
          </a:xfrm>
          <a:prstGeom prst="bentConnector3">
            <a:avLst>
              <a:gd name="adj1" fmla="val -13804348"/>
            </a:avLst>
          </a:prstGeom>
          <a:ln w="28575">
            <a:solidFill>
              <a:srgbClr val="7030A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16" name="Connecteur : en angle 315">
            <a:extLst>
              <a:ext uri="{FF2B5EF4-FFF2-40B4-BE49-F238E27FC236}">
                <a16:creationId xmlns:a16="http://schemas.microsoft.com/office/drawing/2014/main" id="{5261178B-DF60-4189-B4FF-FDFA833BB80B}"/>
              </a:ext>
            </a:extLst>
          </xdr:cNvPr>
          <xdr:cNvCxnSpPr>
            <a:stCxn id="29" idx="1"/>
            <a:endCxn id="14" idx="1"/>
          </xdr:cNvCxnSpPr>
        </xdr:nvCxnSpPr>
        <xdr:spPr>
          <a:xfrm rot="10800000" flipH="1">
            <a:off x="5612848" y="2030361"/>
            <a:ext cx="17946" cy="1686556"/>
          </a:xfrm>
          <a:prstGeom prst="bentConnector3">
            <a:avLst>
              <a:gd name="adj1" fmla="val -1273821"/>
            </a:avLst>
          </a:prstGeom>
          <a:ln w="28575">
            <a:solidFill>
              <a:srgbClr val="FFC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20" name="Connecteur : en angle 319">
            <a:extLst>
              <a:ext uri="{FF2B5EF4-FFF2-40B4-BE49-F238E27FC236}">
                <a16:creationId xmlns:a16="http://schemas.microsoft.com/office/drawing/2014/main" id="{F3578456-27C7-46B8-93ED-E57D27480814}"/>
              </a:ext>
            </a:extLst>
          </xdr:cNvPr>
          <xdr:cNvCxnSpPr>
            <a:stCxn id="29" idx="1"/>
            <a:endCxn id="13" idx="1"/>
          </xdr:cNvCxnSpPr>
        </xdr:nvCxnSpPr>
        <xdr:spPr>
          <a:xfrm rot="10800000" flipH="1">
            <a:off x="5612848" y="1320384"/>
            <a:ext cx="42518" cy="2396533"/>
          </a:xfrm>
          <a:prstGeom prst="bentConnector3">
            <a:avLst>
              <a:gd name="adj1" fmla="val -537655"/>
            </a:avLst>
          </a:prstGeom>
          <a:ln w="28575">
            <a:solidFill>
              <a:srgbClr val="FFC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22" name="Connecteur : en angle 321">
            <a:extLst>
              <a:ext uri="{FF2B5EF4-FFF2-40B4-BE49-F238E27FC236}">
                <a16:creationId xmlns:a16="http://schemas.microsoft.com/office/drawing/2014/main" id="{2E516836-1041-47E8-A1BB-D233975C8246}"/>
              </a:ext>
            </a:extLst>
          </xdr:cNvPr>
          <xdr:cNvCxnSpPr>
            <a:stCxn id="29" idx="1"/>
            <a:endCxn id="12" idx="1"/>
          </xdr:cNvCxnSpPr>
        </xdr:nvCxnSpPr>
        <xdr:spPr>
          <a:xfrm rot="10800000" flipH="1">
            <a:off x="5612847" y="606542"/>
            <a:ext cx="38929" cy="3110375"/>
          </a:xfrm>
          <a:prstGeom prst="bentConnector3">
            <a:avLst>
              <a:gd name="adj1" fmla="val -587223"/>
            </a:avLst>
          </a:prstGeom>
          <a:ln w="28575">
            <a:solidFill>
              <a:srgbClr val="FFC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28" name="Connecteur : en angle 327">
            <a:extLst>
              <a:ext uri="{FF2B5EF4-FFF2-40B4-BE49-F238E27FC236}">
                <a16:creationId xmlns:a16="http://schemas.microsoft.com/office/drawing/2014/main" id="{C8873BCE-9BD2-40E8-9789-7FA7D1651585}"/>
              </a:ext>
            </a:extLst>
          </xdr:cNvPr>
          <xdr:cNvCxnSpPr>
            <a:stCxn id="10" idx="3"/>
            <a:endCxn id="25" idx="1"/>
          </xdr:cNvCxnSpPr>
        </xdr:nvCxnSpPr>
        <xdr:spPr>
          <a:xfrm flipV="1">
            <a:off x="6861588" y="1978279"/>
            <a:ext cx="1049133" cy="922050"/>
          </a:xfrm>
          <a:prstGeom prst="bentConnector3">
            <a:avLst>
              <a:gd name="adj1" fmla="val 50000"/>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49" name="Connecteur : en angle 348">
            <a:extLst>
              <a:ext uri="{FF2B5EF4-FFF2-40B4-BE49-F238E27FC236}">
                <a16:creationId xmlns:a16="http://schemas.microsoft.com/office/drawing/2014/main" id="{BAECA983-8365-4CCA-9559-ECBF82D6B56B}"/>
              </a:ext>
            </a:extLst>
          </xdr:cNvPr>
          <xdr:cNvCxnSpPr>
            <a:stCxn id="10" idx="1"/>
            <a:endCxn id="14" idx="1"/>
          </xdr:cNvCxnSpPr>
        </xdr:nvCxnSpPr>
        <xdr:spPr>
          <a:xfrm rot="10800000" flipH="1">
            <a:off x="5629688" y="2030362"/>
            <a:ext cx="1106" cy="869968"/>
          </a:xfrm>
          <a:prstGeom prst="bentConnector3">
            <a:avLst>
              <a:gd name="adj1" fmla="val -20669078"/>
            </a:avLst>
          </a:prstGeom>
          <a:ln w="28575">
            <a:solidFill>
              <a:srgbClr val="0070C0"/>
            </a:solidFill>
            <a:prstDash val="lg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62" name="Connecteur : en angle 361">
            <a:extLst>
              <a:ext uri="{FF2B5EF4-FFF2-40B4-BE49-F238E27FC236}">
                <a16:creationId xmlns:a16="http://schemas.microsoft.com/office/drawing/2014/main" id="{A44977AC-D3F3-4C5C-81FC-C60C1913C69D}"/>
              </a:ext>
            </a:extLst>
          </xdr:cNvPr>
          <xdr:cNvCxnSpPr>
            <a:stCxn id="10" idx="1"/>
            <a:endCxn id="13" idx="1"/>
          </xdr:cNvCxnSpPr>
        </xdr:nvCxnSpPr>
        <xdr:spPr>
          <a:xfrm rot="10800000" flipH="1">
            <a:off x="5629688" y="1320385"/>
            <a:ext cx="25678" cy="1579945"/>
          </a:xfrm>
          <a:prstGeom prst="bentConnector3">
            <a:avLst>
              <a:gd name="adj1" fmla="val -890256"/>
            </a:avLst>
          </a:prstGeom>
          <a:ln w="28575">
            <a:solidFill>
              <a:srgbClr val="0070C0"/>
            </a:solidFill>
            <a:prstDash val="lg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65" name="Connecteur : en angle 364">
            <a:extLst>
              <a:ext uri="{FF2B5EF4-FFF2-40B4-BE49-F238E27FC236}">
                <a16:creationId xmlns:a16="http://schemas.microsoft.com/office/drawing/2014/main" id="{B0BD9008-DE69-4702-A67B-B4F80A5649B9}"/>
              </a:ext>
            </a:extLst>
          </xdr:cNvPr>
          <xdr:cNvCxnSpPr>
            <a:stCxn id="10" idx="1"/>
            <a:endCxn id="12" idx="1"/>
          </xdr:cNvCxnSpPr>
        </xdr:nvCxnSpPr>
        <xdr:spPr>
          <a:xfrm rot="10800000" flipH="1">
            <a:off x="5629687" y="606543"/>
            <a:ext cx="22089" cy="2293787"/>
          </a:xfrm>
          <a:prstGeom prst="bentConnector3">
            <a:avLst>
              <a:gd name="adj1" fmla="val -1034904"/>
            </a:avLst>
          </a:prstGeom>
          <a:ln w="28575">
            <a:solidFill>
              <a:srgbClr val="0070C0"/>
            </a:solidFill>
            <a:prstDash val="lg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04" name="Connecteur droit avec flèche 403">
            <a:extLst>
              <a:ext uri="{FF2B5EF4-FFF2-40B4-BE49-F238E27FC236}">
                <a16:creationId xmlns:a16="http://schemas.microsoft.com/office/drawing/2014/main" id="{C6C56DE0-35F4-4423-99AC-A7DC7228BD31}"/>
              </a:ext>
            </a:extLst>
          </xdr:cNvPr>
          <xdr:cNvCxnSpPr>
            <a:stCxn id="16" idx="1"/>
            <a:endCxn id="23" idx="3"/>
          </xdr:cNvCxnSpPr>
        </xdr:nvCxnSpPr>
        <xdr:spPr>
          <a:xfrm flipH="1">
            <a:off x="9152008" y="565544"/>
            <a:ext cx="798995" cy="61290"/>
          </a:xfrm>
          <a:prstGeom prst="straightConnector1">
            <a:avLst/>
          </a:prstGeom>
          <a:ln w="28575">
            <a:solidFill>
              <a:srgbClr val="FFFF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07" name="Connecteur droit avec flèche 406">
            <a:extLst>
              <a:ext uri="{FF2B5EF4-FFF2-40B4-BE49-F238E27FC236}">
                <a16:creationId xmlns:a16="http://schemas.microsoft.com/office/drawing/2014/main" id="{16D92143-C9FC-4279-B47A-DA213690D07E}"/>
              </a:ext>
            </a:extLst>
          </xdr:cNvPr>
          <xdr:cNvCxnSpPr>
            <a:stCxn id="16" idx="1"/>
            <a:endCxn id="24" idx="3"/>
          </xdr:cNvCxnSpPr>
        </xdr:nvCxnSpPr>
        <xdr:spPr>
          <a:xfrm flipH="1">
            <a:off x="9151732" y="565544"/>
            <a:ext cx="799271" cy="735926"/>
          </a:xfrm>
          <a:prstGeom prst="straightConnector1">
            <a:avLst/>
          </a:prstGeom>
          <a:ln w="28575">
            <a:solidFill>
              <a:srgbClr val="FFFF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10" name="Connecteur droit avec flèche 409">
            <a:extLst>
              <a:ext uri="{FF2B5EF4-FFF2-40B4-BE49-F238E27FC236}">
                <a16:creationId xmlns:a16="http://schemas.microsoft.com/office/drawing/2014/main" id="{6FE326BC-D412-4FE9-9050-07CD24998D5A}"/>
              </a:ext>
            </a:extLst>
          </xdr:cNvPr>
          <xdr:cNvCxnSpPr>
            <a:stCxn id="16" idx="1"/>
            <a:endCxn id="25" idx="3"/>
          </xdr:cNvCxnSpPr>
        </xdr:nvCxnSpPr>
        <xdr:spPr>
          <a:xfrm flipH="1">
            <a:off x="9142621" y="565544"/>
            <a:ext cx="808382" cy="1412735"/>
          </a:xfrm>
          <a:prstGeom prst="straightConnector1">
            <a:avLst/>
          </a:prstGeom>
          <a:ln w="28575">
            <a:solidFill>
              <a:srgbClr val="FFFF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13" name="Connecteur droit avec flèche 412">
            <a:extLst>
              <a:ext uri="{FF2B5EF4-FFF2-40B4-BE49-F238E27FC236}">
                <a16:creationId xmlns:a16="http://schemas.microsoft.com/office/drawing/2014/main" id="{A788D890-4486-4A83-9132-1EA3D4E115D7}"/>
              </a:ext>
            </a:extLst>
          </xdr:cNvPr>
          <xdr:cNvCxnSpPr>
            <a:stCxn id="16" idx="1"/>
            <a:endCxn id="28" idx="3"/>
          </xdr:cNvCxnSpPr>
        </xdr:nvCxnSpPr>
        <xdr:spPr>
          <a:xfrm flipH="1">
            <a:off x="9148695" y="565544"/>
            <a:ext cx="802308" cy="2083921"/>
          </a:xfrm>
          <a:prstGeom prst="straightConnector1">
            <a:avLst/>
          </a:prstGeom>
          <a:ln w="28575">
            <a:solidFill>
              <a:srgbClr val="FFFF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16" name="Connecteur droit avec flèche 415">
            <a:extLst>
              <a:ext uri="{FF2B5EF4-FFF2-40B4-BE49-F238E27FC236}">
                <a16:creationId xmlns:a16="http://schemas.microsoft.com/office/drawing/2014/main" id="{64EB05B9-5154-43BC-B925-682E4AAB0BF5}"/>
              </a:ext>
            </a:extLst>
          </xdr:cNvPr>
          <xdr:cNvCxnSpPr>
            <a:stCxn id="16" idx="1"/>
            <a:endCxn id="27" idx="3"/>
          </xdr:cNvCxnSpPr>
        </xdr:nvCxnSpPr>
        <xdr:spPr>
          <a:xfrm flipH="1">
            <a:off x="9153388" y="565544"/>
            <a:ext cx="797615" cy="2754283"/>
          </a:xfrm>
          <a:prstGeom prst="straightConnector1">
            <a:avLst/>
          </a:prstGeom>
          <a:ln w="28575">
            <a:solidFill>
              <a:srgbClr val="FFFF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19" name="Connecteur droit avec flèche 418">
            <a:extLst>
              <a:ext uri="{FF2B5EF4-FFF2-40B4-BE49-F238E27FC236}">
                <a16:creationId xmlns:a16="http://schemas.microsoft.com/office/drawing/2014/main" id="{81E68320-BAF2-4459-8A09-2768239B9E16}"/>
              </a:ext>
            </a:extLst>
          </xdr:cNvPr>
          <xdr:cNvCxnSpPr>
            <a:stCxn id="16" idx="1"/>
            <a:endCxn id="26" idx="3"/>
          </xdr:cNvCxnSpPr>
        </xdr:nvCxnSpPr>
        <xdr:spPr>
          <a:xfrm flipH="1">
            <a:off x="9156148" y="565544"/>
            <a:ext cx="794855" cy="3423772"/>
          </a:xfrm>
          <a:prstGeom prst="straightConnector1">
            <a:avLst/>
          </a:prstGeom>
          <a:ln w="28575">
            <a:solidFill>
              <a:srgbClr val="FFFF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190500</xdr:colOff>
      <xdr:row>19</xdr:row>
      <xdr:rowOff>50800</xdr:rowOff>
    </xdr:from>
    <xdr:to>
      <xdr:col>8</xdr:col>
      <xdr:colOff>533400</xdr:colOff>
      <xdr:row>24</xdr:row>
      <xdr:rowOff>146050</xdr:rowOff>
    </xdr:to>
    <xdr:sp macro="" textlink="">
      <xdr:nvSpPr>
        <xdr:cNvPr id="2" name="Bulle narrative : rectangle 1">
          <a:extLst>
            <a:ext uri="{FF2B5EF4-FFF2-40B4-BE49-F238E27FC236}">
              <a16:creationId xmlns:a16="http://schemas.microsoft.com/office/drawing/2014/main" id="{04B0BF99-C21E-4E9B-87EA-C2ACC9DBA9F9}"/>
            </a:ext>
          </a:extLst>
        </xdr:cNvPr>
        <xdr:cNvSpPr/>
      </xdr:nvSpPr>
      <xdr:spPr>
        <a:xfrm>
          <a:off x="6267450" y="3086100"/>
          <a:ext cx="1854200" cy="889000"/>
        </a:xfrm>
        <a:prstGeom prst="wedgeRectCallout">
          <a:avLst>
            <a:gd name="adj1" fmla="val -241723"/>
            <a:gd name="adj2" fmla="val -2892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100"/>
            <a:t>Les variables que le client peut</a:t>
          </a:r>
          <a:r>
            <a:rPr lang="fr-FR" sz="1100" baseline="0"/>
            <a:t> changer sont en bleu sur toutes les feuilles</a:t>
          </a:r>
          <a:endParaRPr lang="fr-FR"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_comments_vml1" Type="http://schemas.openxmlformats.org/officeDocument/2006/relationships/vmlDrawing" Target="../drawings/vmlDrawing3.vml"/><Relationship Id="rId_comments1" Type="http://schemas.openxmlformats.org/officeDocument/2006/relationships/comments" Target="../comments3.xml"/><Relationship Id="rId1ps"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Relationship Id="rId1ps"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ps"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Relationship Id="rId1ps"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
</file>

<file path=xl/worksheets/_rels/sheet14.xml.rels><?xml version="1.0" encoding="UTF-8" standalone="yes"?>
<Relationships xmlns="http://schemas.openxmlformats.org/package/2006/relationships"><Relationship Id="rId_comments_vml1" Type="http://schemas.openxmlformats.org/officeDocument/2006/relationships/vmlDrawing" Target="../drawings/vmlDrawing14.vml"/><Relationship Id="rId_comments1" Type="http://schemas.openxmlformats.org/officeDocument/2006/relationships/comments" Target="../comments14.xml"/></Relationships>
</file>

<file path=xl/worksheets/_rels/sheet15.xml.rels><?xml version="1.0" encoding="UTF-8" standalone="yes"?>
<Relationships xmlns="http://schemas.openxmlformats.org/package/2006/relationships"/>
</file>

<file path=xl/worksheets/_rels/sheet16.xml.rels><?xml version="1.0" encoding="UTF-8" standalone="yes"?>
<Relationships xmlns="http://schemas.openxmlformats.org/package/2006/relationships"/>
</file>

<file path=xl/worksheets/_rels/sheet17.xml.rels><?xml version="1.0" encoding="UTF-8" standalone="yes"?>
<Relationships xmlns="http://schemas.openxmlformats.org/package/2006/relationships"><Relationship Id="rId1ps"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1ps" Type="http://schemas.openxmlformats.org/officeDocument/2006/relationships/printerSettings" Target="../printerSettings/printerSettings7.bin"/></Relationships>
</file>

<file path=xl/worksheets/_rels/sheet19.xml.rels><?xml version="1.0" encoding="UTF-8" standalone="yes"?>
<Relationships xmlns="http://schemas.openxmlformats.org/package/2006/relationships"/>
</file>

<file path=xl/worksheets/_rels/sheet20.xml.rels><?xml version="1.0" encoding="UTF-8" standalone="yes"?>
<Relationships xmlns="http://schemas.openxmlformats.org/package/2006/relationships"/>
</file>

<file path=xl/worksheets/_rels/sheet21.xml.rels><?xml version="1.0" encoding="UTF-8" standalone="yes"?>
<Relationships xmlns="http://schemas.openxmlformats.org/package/2006/relationships"><Relationship Id="rId_comments_vml1" Type="http://schemas.openxmlformats.org/officeDocument/2006/relationships/vmlDrawing" Target="../drawings/vmlDrawing21.vml"/><Relationship Id="rId_comments1" Type="http://schemas.openxmlformats.org/officeDocument/2006/relationships/comments" Target="../comments21.xml"/></Relationships>
</file>

<file path=xl/worksheets/_rels/sheet22.xml.rels><?xml version="1.0" encoding="UTF-8" standalone="yes"?>
<Relationships xmlns="http://schemas.openxmlformats.org/package/2006/relationships"><Relationship Id="rId1ps" Type="http://schemas.openxmlformats.org/officeDocument/2006/relationships/printerSettings" Target="../printerSettings/printerSettings8.bin"/></Relationships>
</file>

<file path=xl/worksheets/_rels/sheet23.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FFFF00"/>
    <outlinePr summaryBelow="1" summaryRight="1"/>
    <pageSetUpPr fitToPage="1"/>
  </sheetPr>
  <dimension ref="A1:M411"/>
  <sheetViews>
    <sheetView tabSelected="1" workbookViewId="0" zoomScale="85" zoomScaleNormal="85" showGridLines="false" showRowColHeaders="1">
      <selection activeCell="M353" sqref="M353"/>
    </sheetView>
  </sheetViews>
  <sheetFormatPr defaultRowHeight="14.4" outlineLevelRow="0" outlineLevelCol="0"/>
  <cols>
    <col min="1" max="1" width="45.6640625" customWidth="true" style="247"/>
    <col min="2" max="2" width="25.6640625" customWidth="true" style="247"/>
    <col min="3" max="3" width="22" customWidth="true" style="247"/>
    <col min="4" max="4" width="20.83203125" customWidth="true" style="247"/>
    <col min="5" max="5" width="12" customWidth="true" style="247"/>
    <col min="6" max="6" width="11.5" customWidth="true" style="247"/>
    <col min="7" max="7" width="25.83203125" customWidth="true" style="247"/>
    <col min="8" max="8" width="32.5" customWidth="true" style="247"/>
    <col min="9" max="9" width="10.83203125" customWidth="true" style="247"/>
  </cols>
  <sheetData>
    <row r="2" spans="1:13">
      <c r="A2" s="124" t="s">
        <v>0</v>
      </c>
    </row>
    <row r="3" spans="1:13">
      <c r="A3" s="124" t="s">
        <v>1</v>
      </c>
    </row>
    <row r="4" spans="1:13">
      <c r="A4" s="124" t="s">
        <v>2</v>
      </c>
    </row>
    <row r="5" spans="1:13">
      <c r="A5" s="124" t="s">
        <v>3</v>
      </c>
    </row>
    <row r="8" spans="1:13" customHeight="1" ht="15"/>
    <row r="9" spans="1:13">
      <c r="A9" s="132" t="s">
        <v>4</v>
      </c>
      <c r="B9" s="133"/>
      <c r="C9" s="133"/>
      <c r="D9" s="134"/>
    </row>
    <row r="10" spans="1:13">
      <c r="A10" s="135" t="s">
        <v>5</v>
      </c>
      <c r="B10" s="136" t="s">
        <v>6</v>
      </c>
      <c r="C10" s="137" t="s">
        <v>7</v>
      </c>
      <c r="D10" s="137" t="s">
        <v>8</v>
      </c>
    </row>
    <row r="11" spans="1:13">
      <c r="A11" s="138" t="s">
        <v>9</v>
      </c>
      <c r="B11" s="139" t="s">
        <v>10</v>
      </c>
      <c r="C11" s="140">
        <v>1</v>
      </c>
      <c r="D11" s="140">
        <v>20000</v>
      </c>
    </row>
    <row r="12" spans="1:13">
      <c r="A12" s="138" t="s">
        <v>9</v>
      </c>
      <c r="B12" s="139" t="s">
        <v>11</v>
      </c>
      <c r="C12" s="140">
        <v>1</v>
      </c>
      <c r="D12" s="140">
        <v>10000</v>
      </c>
    </row>
    <row r="13" spans="1:13">
      <c r="A13" s="138" t="s">
        <v>9</v>
      </c>
      <c r="B13" s="139" t="s">
        <v>12</v>
      </c>
      <c r="C13" s="140">
        <v>1</v>
      </c>
      <c r="D13" s="140">
        <v>1000</v>
      </c>
    </row>
    <row r="14" spans="1:13" s="248" customFormat="1">
      <c r="A14" s="138" t="s">
        <v>9</v>
      </c>
      <c r="B14" s="139" t="s">
        <v>13</v>
      </c>
      <c r="C14" s="140">
        <v>1</v>
      </c>
      <c r="D14" s="140">
        <v>500</v>
      </c>
    </row>
    <row r="22" spans="1:13" customHeight="1" ht="26.25">
      <c r="A22" s="359"/>
      <c r="B22" s="360"/>
      <c r="F22" s="354"/>
      <c r="G22" s="354"/>
    </row>
    <row r="23" spans="1:13">
      <c r="A23" s="359"/>
      <c r="B23" s="360"/>
      <c r="C23" s="249"/>
    </row>
    <row r="24" spans="1:13">
      <c r="A24" s="359"/>
      <c r="B24" s="360"/>
    </row>
    <row r="25" spans="1:13">
      <c r="A25" s="250"/>
    </row>
    <row r="26" spans="1:13">
      <c r="A26" s="250"/>
    </row>
    <row r="27" spans="1:13">
      <c r="F27" s="354"/>
      <c r="G27" s="354"/>
    </row>
    <row r="28" spans="1:13">
      <c r="A28" s="250"/>
      <c r="D28" s="250"/>
    </row>
    <row r="29" spans="1:13" customHeight="1" ht="19">
      <c r="A29" s="251"/>
    </row>
    <row r="30" spans="1:13" customHeight="1" ht="19">
      <c r="A30" s="251"/>
    </row>
    <row r="31" spans="1:13" customHeight="1" ht="19">
      <c r="A31" s="251"/>
    </row>
    <row r="32" spans="1:13" customHeight="1" ht="19">
      <c r="A32" s="251"/>
    </row>
    <row r="33" spans="1:13" customHeight="1" ht="19">
      <c r="A33" s="251"/>
    </row>
    <row r="34" spans="1:13" customHeight="1" ht="19">
      <c r="A34" s="251"/>
    </row>
    <row r="35" spans="1:13" customHeight="1" ht="19">
      <c r="A35" s="251"/>
    </row>
    <row r="36" spans="1:13">
      <c r="A36" s="250"/>
    </row>
    <row r="37" spans="1:13">
      <c r="A37" s="250"/>
    </row>
    <row r="38" spans="1:13">
      <c r="A38" s="250"/>
    </row>
    <row r="39" spans="1:13">
      <c r="A39" s="250"/>
    </row>
    <row r="40" spans="1:13">
      <c r="A40" s="250"/>
    </row>
    <row r="41" spans="1:13">
      <c r="A41" s="250"/>
    </row>
    <row r="42" spans="1:13">
      <c r="A42" s="250"/>
    </row>
    <row r="43" spans="1:13">
      <c r="A43" s="250"/>
    </row>
    <row r="44" spans="1:13" customHeight="1" ht="16">
      <c r="A44" s="252"/>
    </row>
    <row r="45" spans="1:13" customHeight="1" ht="16">
      <c r="A45" s="141"/>
    </row>
    <row r="46" spans="1:13" customHeight="1" ht="16">
      <c r="A46" s="141"/>
    </row>
    <row r="47" spans="1:13" customHeight="1" ht="16">
      <c r="A47" s="141"/>
    </row>
    <row r="48" spans="1:13" customHeight="1" ht="16">
      <c r="A48" s="141"/>
    </row>
    <row r="49" spans="1:13" customHeight="1" ht="16">
      <c r="A49" s="141"/>
    </row>
    <row r="51" spans="1:13">
      <c r="B51" s="253"/>
      <c r="C51" s="254"/>
      <c r="D51" s="253"/>
      <c r="E51" s="332"/>
    </row>
    <row r="52" spans="1:13">
      <c r="D52" s="250"/>
    </row>
    <row r="53" spans="1:13">
      <c r="D53" s="250"/>
    </row>
    <row r="54" spans="1:13">
      <c r="D54" s="250"/>
    </row>
    <row r="56" spans="1:13">
      <c r="C56" s="250"/>
    </row>
    <row r="57" spans="1:13">
      <c r="C57" s="250"/>
    </row>
    <row r="58" spans="1:13">
      <c r="C58" s="250"/>
    </row>
    <row r="59" spans="1:13">
      <c r="C59" s="250"/>
    </row>
    <row r="60" spans="1:13">
      <c r="D60" s="250"/>
    </row>
    <row r="61" spans="1:13">
      <c r="D61" s="250"/>
    </row>
    <row r="62" spans="1:13">
      <c r="D62" s="250"/>
    </row>
    <row r="63" spans="1:13">
      <c r="D63" s="250"/>
    </row>
    <row r="64" spans="1:13">
      <c r="D64" s="250"/>
    </row>
    <row r="65" spans="1:13">
      <c r="D65" s="250"/>
    </row>
    <row r="66" spans="1:13">
      <c r="C66" s="255"/>
    </row>
    <row r="72" spans="1:13">
      <c r="A72" s="250"/>
      <c r="F72" s="256"/>
    </row>
    <row r="73" spans="1:13">
      <c r="A73" s="250"/>
    </row>
    <row r="76" spans="1:13" customHeight="1" ht="20">
      <c r="A76" s="355" t="s">
        <v>14</v>
      </c>
      <c r="B76" s="355"/>
      <c r="C76" s="355"/>
      <c r="D76" s="355"/>
      <c r="E76" s="355"/>
      <c r="F76" s="355"/>
      <c r="G76" s="355"/>
    </row>
    <row r="77" spans="1:13">
      <c r="A77" s="257" t="s">
        <v>15</v>
      </c>
      <c r="G77" s="258">
        <v>3</v>
      </c>
    </row>
    <row r="78" spans="1:13">
      <c r="A78" s="257" t="s">
        <v>16</v>
      </c>
      <c r="B78" s="257" t="s">
        <v>17</v>
      </c>
      <c r="G78" s="258">
        <v>4</v>
      </c>
    </row>
    <row r="79" spans="1:13">
      <c r="A79" s="257" t="s">
        <v>18</v>
      </c>
      <c r="B79" s="257" t="s">
        <v>19</v>
      </c>
      <c r="G79" s="258">
        <v>4</v>
      </c>
    </row>
    <row r="80" spans="1:13">
      <c r="A80" s="257" t="s">
        <v>20</v>
      </c>
      <c r="B80" s="257" t="s">
        <v>21</v>
      </c>
      <c r="G80" s="258">
        <v>4</v>
      </c>
    </row>
    <row r="81" spans="1:13">
      <c r="A81" s="257" t="s">
        <v>22</v>
      </c>
      <c r="B81" s="257" t="s">
        <v>23</v>
      </c>
      <c r="G81" s="258">
        <v>5</v>
      </c>
    </row>
    <row r="82" spans="1:13">
      <c r="A82" s="257" t="s">
        <v>24</v>
      </c>
      <c r="B82" s="257" t="s">
        <v>25</v>
      </c>
      <c r="G82" s="258">
        <v>5</v>
      </c>
    </row>
    <row r="83" spans="1:13">
      <c r="A83" s="259" t="s">
        <v>26</v>
      </c>
      <c r="B83" s="259" t="s">
        <v>27</v>
      </c>
      <c r="G83" s="258">
        <v>5</v>
      </c>
    </row>
    <row r="84" spans="1:13">
      <c r="A84" s="259" t="s">
        <v>28</v>
      </c>
      <c r="B84" s="259" t="s">
        <v>29</v>
      </c>
      <c r="G84" s="258">
        <v>5</v>
      </c>
    </row>
    <row r="85" spans="1:13">
      <c r="A85" s="259" t="s">
        <v>30</v>
      </c>
      <c r="B85" s="259" t="s">
        <v>31</v>
      </c>
      <c r="G85" s="258">
        <v>6</v>
      </c>
    </row>
    <row r="86" spans="1:13">
      <c r="A86" s="259" t="s">
        <v>32</v>
      </c>
      <c r="B86" s="259" t="s">
        <v>33</v>
      </c>
      <c r="G86" s="258">
        <v>7</v>
      </c>
    </row>
    <row r="87" spans="1:13">
      <c r="A87" s="257" t="s">
        <v>34</v>
      </c>
      <c r="B87" s="257" t="s">
        <v>35</v>
      </c>
      <c r="G87" s="258">
        <v>8</v>
      </c>
    </row>
    <row r="88" spans="1:13">
      <c r="A88" s="259" t="s">
        <v>36</v>
      </c>
      <c r="B88" s="259" t="s">
        <v>37</v>
      </c>
      <c r="G88" s="258">
        <v>8</v>
      </c>
    </row>
    <row r="89" spans="1:13">
      <c r="A89" s="259" t="s">
        <v>38</v>
      </c>
      <c r="B89" s="259" t="s">
        <v>39</v>
      </c>
      <c r="G89" s="258">
        <v>9</v>
      </c>
    </row>
    <row r="90" spans="1:13">
      <c r="A90" s="259" t="s">
        <v>40</v>
      </c>
      <c r="B90" s="259" t="s">
        <v>41</v>
      </c>
      <c r="G90" s="258">
        <v>9</v>
      </c>
    </row>
    <row r="91" spans="1:13">
      <c r="A91" s="257" t="s">
        <v>42</v>
      </c>
      <c r="B91" s="257" t="s">
        <v>43</v>
      </c>
      <c r="G91" s="258">
        <v>10</v>
      </c>
    </row>
    <row r="92" spans="1:13">
      <c r="A92" s="259" t="s">
        <v>44</v>
      </c>
      <c r="B92" s="259" t="s">
        <v>45</v>
      </c>
      <c r="G92" s="258">
        <v>10</v>
      </c>
    </row>
    <row r="93" spans="1:13">
      <c r="A93" s="259" t="s">
        <v>46</v>
      </c>
      <c r="B93" s="259" t="s">
        <v>47</v>
      </c>
      <c r="G93" s="258">
        <v>11</v>
      </c>
    </row>
    <row r="94" spans="1:13">
      <c r="A94" s="259" t="s">
        <v>48</v>
      </c>
      <c r="B94" s="259" t="s">
        <v>49</v>
      </c>
      <c r="G94" s="258">
        <v>13</v>
      </c>
    </row>
    <row r="95" spans="1:13" customHeight="1" ht="15.75">
      <c r="A95" s="259" t="s">
        <v>50</v>
      </c>
      <c r="B95" s="259" t="s">
        <v>51</v>
      </c>
      <c r="G95" s="258">
        <v>14</v>
      </c>
    </row>
    <row r="97" spans="1:13" customHeight="1" ht="16">
      <c r="A97" s="142"/>
    </row>
    <row r="98" spans="1:13" customHeight="1" ht="17">
      <c r="A98" s="363" t="s">
        <v>15</v>
      </c>
      <c r="B98" s="363"/>
      <c r="C98" s="363"/>
      <c r="D98" s="363"/>
      <c r="E98" s="363"/>
      <c r="F98" s="363"/>
      <c r="G98" s="363"/>
    </row>
    <row r="99" spans="1:13" customHeight="1" ht="15">
      <c r="A99" s="366"/>
      <c r="B99" s="367"/>
      <c r="C99" s="367"/>
      <c r="D99" s="367"/>
      <c r="E99" s="367"/>
      <c r="F99" s="367"/>
      <c r="G99" s="368"/>
    </row>
    <row r="100" spans="1:13" customHeight="1" ht="16.5">
      <c r="A100" s="369" t="s">
        <v>52</v>
      </c>
      <c r="B100" s="370"/>
      <c r="C100" s="371"/>
      <c r="D100" s="371"/>
      <c r="E100" s="371"/>
      <c r="F100" s="371"/>
      <c r="G100" s="372"/>
    </row>
    <row r="101" spans="1:13" customHeight="1" ht="87.75">
      <c r="A101" s="373" t="s">
        <v>53</v>
      </c>
      <c r="B101" s="374"/>
      <c r="C101" s="374"/>
      <c r="D101" s="374"/>
      <c r="E101" s="374"/>
      <c r="F101" s="374"/>
      <c r="G101" s="375"/>
    </row>
    <row r="102" spans="1:13" customHeight="1" ht="15.75">
      <c r="A102" s="260" t="s">
        <v>54</v>
      </c>
      <c r="B102" s="261"/>
      <c r="C102" s="261"/>
      <c r="D102" s="376"/>
      <c r="E102" s="376"/>
      <c r="F102" s="376"/>
      <c r="G102" s="377"/>
    </row>
    <row r="103" spans="1:13" customHeight="1" ht="15">
      <c r="A103" s="361" t="s">
        <v>55</v>
      </c>
      <c r="B103" s="362"/>
      <c r="C103" s="262"/>
      <c r="D103" s="356"/>
      <c r="E103" s="356"/>
      <c r="F103" s="356"/>
      <c r="G103" s="357"/>
    </row>
    <row r="104" spans="1:13" customHeight="1" ht="15">
      <c r="A104" s="263" t="s">
        <v>56</v>
      </c>
      <c r="B104" s="264"/>
      <c r="C104" s="264"/>
      <c r="D104" s="356"/>
      <c r="E104" s="356"/>
      <c r="F104" s="356"/>
      <c r="G104" s="357"/>
    </row>
    <row r="105" spans="1:13" customHeight="1" ht="15">
      <c r="A105" s="361" t="s">
        <v>57</v>
      </c>
      <c r="B105" s="362"/>
      <c r="C105" s="264"/>
      <c r="D105" s="356"/>
      <c r="E105" s="356"/>
      <c r="F105" s="356"/>
      <c r="G105" s="357"/>
    </row>
    <row r="106" spans="1:13" customHeight="1" ht="15">
      <c r="A106" s="361" t="s">
        <v>58</v>
      </c>
      <c r="B106" s="362"/>
      <c r="C106" s="264"/>
      <c r="D106" s="356"/>
      <c r="E106" s="356"/>
      <c r="F106" s="356"/>
      <c r="G106" s="357"/>
    </row>
    <row r="107" spans="1:13" customHeight="1" ht="15">
      <c r="A107" s="263" t="s">
        <v>59</v>
      </c>
      <c r="B107" s="264"/>
      <c r="C107" s="264"/>
      <c r="D107" s="356"/>
      <c r="E107" s="356"/>
      <c r="F107" s="356"/>
      <c r="G107" s="357"/>
    </row>
    <row r="108" spans="1:13" customHeight="1" ht="15">
      <c r="A108" s="263" t="s">
        <v>60</v>
      </c>
      <c r="B108" s="264"/>
      <c r="C108" s="264"/>
      <c r="D108" s="356"/>
      <c r="E108" s="356"/>
      <c r="F108" s="356"/>
      <c r="G108" s="357"/>
    </row>
    <row r="109" spans="1:13" customHeight="1" ht="15">
      <c r="A109" s="143"/>
      <c r="B109" s="144" t="s">
        <v>61</v>
      </c>
      <c r="C109" s="145" t="s">
        <v>62</v>
      </c>
      <c r="D109" s="145" t="s">
        <v>63</v>
      </c>
      <c r="E109" s="145" t="s">
        <v>64</v>
      </c>
      <c r="F109" s="145" t="s">
        <v>65</v>
      </c>
      <c r="G109" s="146" t="s">
        <v>66</v>
      </c>
    </row>
    <row r="110" spans="1:13" customHeight="1" ht="15">
      <c r="A110" s="147" t="s">
        <v>67</v>
      </c>
      <c r="B110" s="148">
        <f>SUM(B111,B112,B116)</f>
        <v>26553200.8718</v>
      </c>
      <c r="C110" s="148">
        <f>SUM(C111,C112,C116)</f>
        <v>3698500.8718</v>
      </c>
      <c r="D110" s="148">
        <f>SUM(D111,D112,D116)</f>
        <v>0</v>
      </c>
      <c r="E110" s="148">
        <f>SUM(E111,E112,E116)</f>
        <v>0</v>
      </c>
      <c r="F110" s="148">
        <f>SUM(F111,F112,F116)</f>
        <v>0</v>
      </c>
      <c r="G110" s="148">
        <f>SUM(B110:F110)</f>
        <v>30251701.7436</v>
      </c>
    </row>
    <row r="111" spans="1:13" customHeight="1" ht="15">
      <c r="A111" s="149" t="s">
        <v>68</v>
      </c>
      <c r="B111" s="150">
        <f>'1.Var.Fin'!B17</f>
        <v>0</v>
      </c>
      <c r="C111" s="150">
        <f>'1.Var.Fin'!C17</f>
        <v>0</v>
      </c>
      <c r="D111" s="150">
        <f>'1.Var.Fin'!D17</f>
        <v>0</v>
      </c>
      <c r="E111" s="150">
        <f>'1.Var.Fin'!E17</f>
        <v/>
      </c>
      <c r="F111" s="150">
        <f>'1.Var.Fin'!F17</f>
        <v>0</v>
      </c>
      <c r="G111" s="148">
        <f>SUM(B111:F111)</f>
        <v>0</v>
      </c>
    </row>
    <row r="112" spans="1:13" customHeight="1" ht="15">
      <c r="A112" s="149" t="s">
        <v>69</v>
      </c>
      <c r="B112" s="151">
        <f>'1.Var.Fin'!B11</f>
        <v>3698500.8718</v>
      </c>
      <c r="C112" s="152">
        <f>'1.Var.Fin'!C11</f>
        <v>0</v>
      </c>
      <c r="D112" s="152">
        <f>'1.Var.Fin'!D11</f>
        <v>0</v>
      </c>
      <c r="E112" s="152">
        <f>'1.Var.Fin'!E11</f>
        <v/>
      </c>
      <c r="F112" s="152">
        <f>'1.Var.Fin'!F11</f>
        <v>0</v>
      </c>
      <c r="G112" s="148">
        <f>SUM(B112:F112)</f>
        <v>3698500.8718</v>
      </c>
    </row>
    <row r="113" spans="1:13" customHeight="1" ht="15">
      <c r="A113" s="149" t="s">
        <v>70</v>
      </c>
      <c r="B113" s="151">
        <f>'1.Var.Fin'!B14</f>
        <v>12</v>
      </c>
      <c r="C113" s="151">
        <f>'1.Var.Fin'!C14</f>
        <v>12</v>
      </c>
      <c r="D113" s="151">
        <f>'1.Var.Fin'!D14</f>
        <v>12</v>
      </c>
      <c r="E113" s="151">
        <f>'1.Var.Fin'!E14</f>
        <v/>
      </c>
      <c r="F113" s="151">
        <f>'1.Var.Fin'!F14</f>
        <v>0</v>
      </c>
      <c r="G113" s="151">
        <f>AVERAGE(B113:F113)</f>
        <v>9</v>
      </c>
    </row>
    <row r="114" spans="1:13" customHeight="1" ht="15">
      <c r="A114" s="149" t="s">
        <v>71</v>
      </c>
      <c r="B114" s="153">
        <f>'1.Var.Fin'!B13</f>
        <v>0.14</v>
      </c>
      <c r="C114" s="153">
        <f>'1.Var.Fin'!C13</f>
        <v>0.14</v>
      </c>
      <c r="D114" s="152">
        <f>'1.Var.Fin'!D13</f>
        <v>0.14</v>
      </c>
      <c r="E114" s="152">
        <f>'1.Var.Fin'!E13</f>
        <v/>
      </c>
      <c r="F114" s="152">
        <f>'1.Var.Fin'!F13</f>
        <v>0</v>
      </c>
      <c r="G114" s="151">
        <f>AVERAGE(B114:F114)</f>
        <v>0.105</v>
      </c>
    </row>
    <row r="115" spans="1:13" customHeight="1" ht="15">
      <c r="A115" s="149" t="s">
        <v>72</v>
      </c>
      <c r="B115" s="151">
        <f>IF(B112&gt;1,IFERROR((B112*(B114/12)/((1-(1+(B114/12))^(-(B113))))),""),0)</f>
        <v>332077.73276222</v>
      </c>
      <c r="C115" s="151">
        <f>IF(C112&gt;1,IFERROR((C112*(C114/12)/((1-(1+(C114/12))^(-(C113))))),""),0)</f>
        <v>0</v>
      </c>
      <c r="D115" s="151">
        <f>IF(D112&gt;1,IFERROR((D112*(D114/12)/((1-(1+(D114/12))^(-(D113))))),""),0)</f>
        <v>0</v>
      </c>
      <c r="E115" s="151">
        <f>IF(E112&gt;1,IFERROR((E112*(E114/12)/((1-(1+(E114/12))^(-(E113))))),""),0)</f>
        <v>0</v>
      </c>
      <c r="F115" s="151">
        <f>IF(F112&gt;1,IFERROR((F112*(F114/12)/((1-(1+(F114/12))^(-(F113))))),""),0)</f>
        <v>0</v>
      </c>
      <c r="G115" s="151">
        <f>AVERAGE(B115:F115)</f>
        <v>66415.546552444</v>
      </c>
    </row>
    <row r="116" spans="1:13" customHeight="1" ht="15">
      <c r="A116" s="149" t="s">
        <v>73</v>
      </c>
      <c r="B116" s="151">
        <f>'1.Var.Fin'!B5</f>
        <v>22854700</v>
      </c>
      <c r="C116" s="151">
        <f>'1.Var.Fin'!C5</f>
        <v>3698500.8718</v>
      </c>
      <c r="D116" s="151">
        <f>'1.Var.Fin'!D5</f>
        <v>0</v>
      </c>
      <c r="E116" s="151">
        <f>'1.Var.Fin'!E5</f>
        <v/>
      </c>
      <c r="F116" s="151">
        <f>'1.Var.Fin'!F5</f>
        <v>0</v>
      </c>
      <c r="G116" s="148">
        <f>SUM(B116:F116)</f>
        <v>26553200.8718</v>
      </c>
    </row>
    <row r="117" spans="1:13" customHeight="1" ht="15">
      <c r="A117" s="149" t="s">
        <v>74</v>
      </c>
      <c r="B117" s="154">
        <f>ROUNDUP('1.Var.Fin'!B8/12,0)</f>
        <v>3</v>
      </c>
      <c r="C117" s="154">
        <f>ROUNDUP('1.Var.Fin'!C8/12,0)</f>
        <v>3</v>
      </c>
      <c r="D117" s="154">
        <f>ROUNDUP('1.Var.Fin'!D8/12,0)</f>
        <v>3</v>
      </c>
      <c r="E117" s="154">
        <f>ROUNDUP('1.Var.Fin'!E8/12,0)</f>
        <v>0</v>
      </c>
      <c r="F117" s="154">
        <f>ROUNDUP('1.Var.Fin'!F8/12,0)</f>
        <v>0</v>
      </c>
      <c r="G117" s="151">
        <f>AVERAGE(B117:F117)</f>
        <v>1.8</v>
      </c>
    </row>
    <row r="118" spans="1:13" customHeight="1" ht="15">
      <c r="A118" s="149" t="s">
        <v>71</v>
      </c>
      <c r="B118" s="153">
        <f>'1.Var.Fin'!B7</f>
        <v>0.09</v>
      </c>
      <c r="C118" s="153">
        <f>'1.Var.Fin'!C7</f>
        <v>0.11</v>
      </c>
      <c r="D118" s="151">
        <f>'1.Var.Fin'!D7</f>
        <v>0.1</v>
      </c>
      <c r="E118" s="151">
        <f>'1.Var.Fin'!E7</f>
        <v/>
      </c>
      <c r="F118" s="151">
        <f>'1.Var.Fin'!F7</f>
        <v>0</v>
      </c>
      <c r="G118" s="151">
        <f>AVERAGE(B118:F118)</f>
        <v>0.075</v>
      </c>
    </row>
    <row r="119" spans="1:13" customHeight="1" ht="15">
      <c r="A119" s="149" t="s">
        <v>75</v>
      </c>
      <c r="B119" s="151">
        <f>IF(B116&gt;1,IFERROR((B116*(B118)/((1-(1+(B118))^(-(B117))))),""),0)</f>
        <v>9028857.9623257</v>
      </c>
      <c r="C119" s="151">
        <f>IF(C116&gt;1,IFERROR((C116*(C118)/((1-(1+(C118))^(-(C117))))),""),0)</f>
        <v>1513474.894767</v>
      </c>
      <c r="D119" s="151">
        <f>IF(D116&gt;1,IFERROR((D116*(D118)/((1-(1+(D118))^(-(D117))))),""),0)</f>
        <v>0</v>
      </c>
      <c r="E119" s="151">
        <f>IF(E116&gt;1,IFERROR((E116*(E118)/((1-(1+(E118))^(-(E117))))),""),0)</f>
        <v>0</v>
      </c>
      <c r="F119" s="151">
        <f>IF(F116&gt;1,IFERROR((F116*(F118)/((1-(1+(F118))^(-(F117))))),""),0)</f>
        <v>0</v>
      </c>
      <c r="G119" s="151">
        <f>AVERAGE(B119:F119)</f>
        <v>2108466.5714185</v>
      </c>
    </row>
    <row r="120" spans="1:13" customHeight="1" ht="15">
      <c r="A120" s="149" t="s">
        <v>76</v>
      </c>
      <c r="B120" s="155">
        <f>'10.Vente'!P12</f>
        <v>33696000</v>
      </c>
      <c r="C120" s="155">
        <f>'10.Vente'!Q12</f>
        <v>37065600</v>
      </c>
      <c r="D120" s="155">
        <f>'10.Vente'!R12</f>
        <v>40772160</v>
      </c>
      <c r="E120" s="155">
        <f>'10.Vente'!S12</f>
        <v>0</v>
      </c>
      <c r="F120" s="155">
        <f>'10.Vente'!T12</f>
        <v>0</v>
      </c>
      <c r="G120" s="155">
        <f>SUM(B120:F120)</f>
        <v>111533760</v>
      </c>
    </row>
    <row r="121" spans="1:13" customHeight="1" ht="15">
      <c r="A121" s="149" t="s">
        <v>77</v>
      </c>
      <c r="B121" s="156">
        <f>'16.CR'!C43</f>
        <v>-4713412.5213467</v>
      </c>
      <c r="C121" s="156">
        <f>'16.CR'!D43</f>
        <v>-3245112.2133907</v>
      </c>
      <c r="D121" s="156">
        <f>'16.CR'!E43</f>
        <v>-1951331.7295865</v>
      </c>
      <c r="E121" s="156">
        <f>'16.CR'!F43</f>
        <v>0</v>
      </c>
      <c r="F121" s="156">
        <f>'16.CR'!G43</f>
        <v>0</v>
      </c>
      <c r="G121" s="151">
        <f>SUM(B121:F121)</f>
        <v>-9909856.4643239</v>
      </c>
    </row>
    <row r="122" spans="1:13" customHeight="1" ht="15">
      <c r="A122" s="157" t="s">
        <v>78</v>
      </c>
      <c r="B122" s="158">
        <f>'16.CR'!C44</f>
        <v>-0.13988047606086</v>
      </c>
      <c r="C122" s="158">
        <f>'16.CR'!D44</f>
        <v>-0.087550510807614</v>
      </c>
      <c r="D122" s="158">
        <f>'16.CR'!E44</f>
        <v>-0.047859415090751</v>
      </c>
      <c r="E122" s="158">
        <f>'16.CR'!F44</f>
        <v>0</v>
      </c>
      <c r="F122" s="158">
        <f>'16.CR'!G44</f>
        <v>0</v>
      </c>
      <c r="G122" s="158">
        <f>SUM(B122:F122)</f>
        <v>-0.27529040195922</v>
      </c>
    </row>
    <row r="123" spans="1:13" customHeight="1" ht="16">
      <c r="A123" s="238" t="s">
        <v>79</v>
      </c>
      <c r="B123" s="239"/>
      <c r="C123" s="239"/>
      <c r="D123" s="239"/>
      <c r="E123" s="239"/>
      <c r="F123" s="239"/>
      <c r="G123" s="240" t="e">
        <f>'18.Van'!F11</f>
        <v>#VALUE!</v>
      </c>
    </row>
    <row r="124" spans="1:13" customHeight="1" ht="15">
      <c r="A124" s="238" t="s">
        <v>80</v>
      </c>
      <c r="B124" s="239"/>
      <c r="C124" s="239"/>
      <c r="D124" s="239"/>
      <c r="E124" s="239"/>
      <c r="F124" s="239"/>
      <c r="G124" s="241" t="e">
        <f>'18.Van'!F12</f>
        <v>#VALUE!</v>
      </c>
    </row>
    <row r="125" spans="1:13">
      <c r="A125" s="265"/>
      <c r="B125" s="262"/>
      <c r="C125" s="262"/>
      <c r="D125" s="262"/>
      <c r="E125" s="262"/>
      <c r="F125" s="262"/>
      <c r="G125" s="262"/>
    </row>
    <row r="126" spans="1:13" customHeight="1" ht="16">
      <c r="A126" s="343" t="s">
        <v>81</v>
      </c>
      <c r="B126" s="343"/>
      <c r="C126" s="343"/>
      <c r="D126" s="343"/>
      <c r="E126" s="343"/>
      <c r="F126" s="343"/>
      <c r="G126" s="343"/>
    </row>
    <row r="127" spans="1:13" customHeight="1" ht="43.5">
      <c r="A127" s="347" t="s">
        <v>82</v>
      </c>
      <c r="B127" s="347"/>
      <c r="C127" s="347"/>
      <c r="D127" s="347"/>
      <c r="E127" s="347"/>
      <c r="F127" s="347"/>
      <c r="G127" s="347"/>
    </row>
    <row r="128" spans="1:13" customHeight="1" ht="30.75">
      <c r="A128" s="347"/>
      <c r="B128" s="347"/>
      <c r="C128" s="347"/>
      <c r="D128" s="347"/>
      <c r="E128" s="347"/>
      <c r="F128" s="347"/>
      <c r="G128" s="347"/>
    </row>
    <row r="129" spans="1:13" customHeight="1" ht="32.25">
      <c r="A129" s="343" t="s">
        <v>83</v>
      </c>
      <c r="B129" s="343"/>
      <c r="C129" s="343"/>
      <c r="D129" s="343"/>
      <c r="E129" s="343"/>
      <c r="F129" s="343"/>
      <c r="G129" s="343"/>
    </row>
    <row r="130" spans="1:13" customHeight="1" ht="16">
      <c r="A130" s="343" t="s">
        <v>84</v>
      </c>
      <c r="B130" s="343"/>
      <c r="C130" s="343"/>
      <c r="D130" s="343"/>
      <c r="E130" s="343"/>
      <c r="F130" s="343"/>
      <c r="G130" s="343"/>
    </row>
    <row r="131" spans="1:13" customHeight="1" ht="16">
      <c r="A131" s="266"/>
      <c r="B131" s="262"/>
      <c r="C131" s="262"/>
      <c r="D131" s="262"/>
      <c r="E131" s="262"/>
      <c r="F131" s="262"/>
      <c r="G131" s="262"/>
    </row>
    <row r="132" spans="1:13" customHeight="1" ht="16">
      <c r="A132" s="364" t="s">
        <v>85</v>
      </c>
      <c r="B132" s="364"/>
      <c r="C132" s="364"/>
      <c r="D132" s="364"/>
      <c r="E132" s="262"/>
      <c r="F132" s="262"/>
      <c r="G132" s="262"/>
    </row>
    <row r="133" spans="1:13" customHeight="1" ht="17">
      <c r="A133" s="266"/>
      <c r="B133" s="262"/>
      <c r="C133" s="262"/>
      <c r="D133" s="262"/>
      <c r="E133" s="262"/>
      <c r="F133" s="262"/>
      <c r="G133" s="262"/>
    </row>
    <row r="134" spans="1:13" customHeight="1" ht="15">
      <c r="A134" s="365" t="str">
        <f>'7.Bud.Inv.'!C3</f>
        <v>Immobilisation</v>
      </c>
      <c r="B134" s="365"/>
      <c r="C134" s="202" t="s">
        <v>86</v>
      </c>
      <c r="D134" s="202" t="s">
        <v>87</v>
      </c>
      <c r="E134" s="202" t="s">
        <v>88</v>
      </c>
      <c r="F134" s="202" t="s">
        <v>89</v>
      </c>
      <c r="G134" s="202" t="s">
        <v>89</v>
      </c>
    </row>
    <row r="135" spans="1:13" customHeight="1" ht="15.5">
      <c r="A135" s="358" t="str">
        <f>'7.Bud.Inv.'!C4</f>
        <v>Aménagement et batiments</v>
      </c>
      <c r="B135" s="358"/>
      <c r="C135" s="267">
        <f>'5.Inv'!F4</f>
        <v>2500000</v>
      </c>
      <c r="D135" s="267">
        <f>'5.Inv'!E4</f>
        <v>1</v>
      </c>
      <c r="E135" s="267">
        <f>'7.Bud.Inv.'!Q4</f>
        <v>2500000</v>
      </c>
      <c r="F135" s="267">
        <f>'7.Bud.Inv.'!S4</f>
        <v>0</v>
      </c>
      <c r="G135" s="267">
        <f>'7.Bud.Inv.'!T4</f>
        <v>0</v>
      </c>
    </row>
    <row r="136" spans="1:13" customHeight="1" ht="17">
      <c r="A136" s="358" t="str">
        <f>'7.Bud.Inv.'!C6</f>
        <v>Aménagement entrepôt</v>
      </c>
      <c r="B136" s="358"/>
      <c r="C136" s="267">
        <f>'5.Inv'!F5</f>
        <v>2500000</v>
      </c>
      <c r="D136" s="268">
        <f>'5.Inv'!E5</f>
        <v>1</v>
      </c>
      <c r="E136" s="268">
        <f>'7.Bud.Inv.'!Q6</f>
        <v>2500000</v>
      </c>
      <c r="F136" s="269">
        <f>'7.Bud.Inv.'!S6</f>
        <v>0</v>
      </c>
      <c r="G136" s="269">
        <f>'7.Bud.Inv.'!T6</f>
        <v>0</v>
      </c>
    </row>
    <row r="137" spans="1:13" customHeight="1" ht="17">
      <c r="A137" s="358" t="str">
        <f>'7.Bud.Inv.'!C7</f>
        <v>Véhicules de liaison</v>
      </c>
      <c r="B137" s="358"/>
      <c r="C137" s="267">
        <f>'5.Inv'!F6</f>
        <v>5000000</v>
      </c>
      <c r="D137" s="268">
        <f>'5.Inv'!E6</f>
        <v>1</v>
      </c>
      <c r="E137" s="268">
        <f>'7.Bud.Inv.'!Q7</f>
        <v>5000000</v>
      </c>
      <c r="F137" s="269">
        <f>'7.Bud.Inv.'!S7</f>
        <v>0</v>
      </c>
      <c r="G137" s="269">
        <f>'7.Bud.Inv.'!T7</f>
        <v>0</v>
      </c>
    </row>
    <row r="138" spans="1:13" customHeight="1" ht="17">
      <c r="A138" s="358" t="str">
        <f>'7.Bud.Inv.'!C8</f>
        <v>Véhicules de bureau</v>
      </c>
      <c r="B138" s="358"/>
      <c r="C138" s="268">
        <f>'5.Inv'!F7</f>
        <v>0</v>
      </c>
      <c r="D138" s="268">
        <f>'5.Inv'!E7</f>
        <v>1</v>
      </c>
      <c r="E138" s="268">
        <f>'7.Bud.Inv.'!Q8</f>
        <v>0</v>
      </c>
      <c r="F138" s="269">
        <f>'7.Bud.Inv.'!S8</f>
        <v>0</v>
      </c>
      <c r="G138" s="269">
        <f>'7.Bud.Inv.'!T8</f>
        <v>0</v>
      </c>
    </row>
    <row r="139" spans="1:13" customHeight="1" ht="17">
      <c r="A139" s="358" t="str">
        <f>'7.Bud.Inv.'!C9</f>
        <v>Véhicule administratif</v>
      </c>
      <c r="B139" s="358"/>
      <c r="C139" s="268">
        <f>'5.Inv'!F8</f>
        <v>0</v>
      </c>
      <c r="D139" s="268">
        <f>'5.Inv'!E8</f>
        <v>1</v>
      </c>
      <c r="E139" s="268">
        <f>'7.Bud.Inv.'!Q9</f>
        <v>0</v>
      </c>
      <c r="F139" s="269">
        <f>'7.Bud.Inv.'!S9</f>
        <v>0</v>
      </c>
      <c r="G139" s="269">
        <f>'7.Bud.Inv.'!T9</f>
        <v>0</v>
      </c>
    </row>
    <row r="140" spans="1:13" customHeight="1" ht="17">
      <c r="A140" s="358" t="str">
        <f>'7.Bud.Inv.'!C10</f>
        <v>Bureau (Fauteuil + table)</v>
      </c>
      <c r="B140" s="358"/>
      <c r="C140" s="268">
        <f>'5.Inv'!F9</f>
        <v>510000</v>
      </c>
      <c r="D140" s="268">
        <f>'5.Inv'!E9</f>
        <v>1</v>
      </c>
      <c r="E140" s="268">
        <f>'7.Bud.Inv.'!Q10</f>
        <v>510000</v>
      </c>
      <c r="F140" s="269">
        <f>'7.Bud.Inv.'!S10</f>
        <v>0</v>
      </c>
      <c r="G140" s="269">
        <f>'7.Bud.Inv.'!T10</f>
        <v>0</v>
      </c>
    </row>
    <row r="141" spans="1:13" customHeight="1" ht="15.5">
      <c r="A141" s="358" t="str">
        <f>'7.Bud.Inv.'!C11</f>
        <v>Mobilier et matériel de bureau</v>
      </c>
      <c r="B141" s="358"/>
      <c r="C141" s="268">
        <f>'5.Inv'!F10</f>
        <v>0</v>
      </c>
      <c r="D141" s="268">
        <f>'5.Inv'!E10</f>
        <v>1</v>
      </c>
      <c r="E141" s="268">
        <f>'7.Bud.Inv.'!Q11</f>
        <v>0</v>
      </c>
      <c r="F141" s="269">
        <f>'7.Bud.Inv.'!S11</f>
        <v>0</v>
      </c>
      <c r="G141" s="269">
        <f>'7.Bud.Inv.'!T11</f>
        <v>0</v>
      </c>
    </row>
    <row r="142" spans="1:13" customHeight="1" ht="15.5">
      <c r="A142" s="358" t="str">
        <f>'7.Bud.Inv.'!C12</f>
        <v>Bureau (Fauteuil + table)</v>
      </c>
      <c r="B142" s="358"/>
      <c r="C142" s="268">
        <f>'5.Inv'!F11</f>
        <v>0</v>
      </c>
      <c r="D142" s="268">
        <f>'5.Inv'!E11</f>
        <v>1</v>
      </c>
      <c r="E142" s="268">
        <f>'7.Bud.Inv.'!Q12</f>
        <v>0</v>
      </c>
      <c r="F142" s="269">
        <f>'7.Bud.Inv.'!S12</f>
        <v>0</v>
      </c>
      <c r="G142" s="269">
        <f>'7.Bud.Inv.'!T12</f>
        <v>0</v>
      </c>
    </row>
    <row r="143" spans="1:13" customHeight="1" ht="17">
      <c r="A143" s="358" t="str">
        <f>'7.Bud.Inv.'!C13</f>
        <v>Ordinateur PRO</v>
      </c>
      <c r="B143" s="358"/>
      <c r="C143" s="268">
        <f>'5.Inv'!F12</f>
        <v>1500000</v>
      </c>
      <c r="D143" s="268">
        <f>'5.Inv'!E12</f>
        <v>1</v>
      </c>
      <c r="E143" s="268">
        <f>'7.Bud.Inv.'!Q13</f>
        <v>1500000</v>
      </c>
      <c r="F143" s="269">
        <f>'7.Bud.Inv.'!S13</f>
        <v>0</v>
      </c>
      <c r="G143" s="269">
        <f>'7.Bud.Inv.'!T13</f>
        <v>0</v>
      </c>
    </row>
    <row r="144" spans="1:13" customHeight="1" ht="17">
      <c r="A144" s="358" t="str">
        <f>'7.Bud.Inv.'!C15</f>
        <v>CANON EOS 80 D + objectif 18-135mm IS USM</v>
      </c>
      <c r="B144" s="358"/>
      <c r="C144" s="268">
        <f>'5.Inv'!F13</f>
        <v>2000000</v>
      </c>
      <c r="D144" s="268">
        <f>'5.Inv'!E13</f>
        <v>1</v>
      </c>
      <c r="E144" s="268">
        <f>'7.Bud.Inv.'!Q15</f>
        <v>1467000</v>
      </c>
      <c r="F144" s="269">
        <f>'7.Bud.Inv.'!S15</f>
        <v>0</v>
      </c>
      <c r="G144" s="269">
        <f>'7.Bud.Inv.'!T15</f>
        <v>0</v>
      </c>
    </row>
    <row r="145" spans="1:13" customHeight="1" ht="17">
      <c r="A145" s="358" t="str">
        <f>'7.Bud.Inv.'!C16</f>
        <v>Boîtier Canon EOS 5D Mark IV</v>
      </c>
      <c r="B145" s="358"/>
      <c r="C145" s="268">
        <f>'5.Inv'!F14</f>
        <v>1467000</v>
      </c>
      <c r="D145" s="268">
        <f>'5.Inv'!E14</f>
        <v>1</v>
      </c>
      <c r="E145" s="268">
        <f>'7.Bud.Inv.'!Q16</f>
        <v>3301200</v>
      </c>
      <c r="F145" s="269">
        <f>'7.Bud.Inv.'!S16</f>
        <v>0</v>
      </c>
      <c r="G145" s="269">
        <f>'7.Bud.Inv.'!T16</f>
        <v>0</v>
      </c>
    </row>
    <row r="146" spans="1:13" customHeight="1" ht="15.5">
      <c r="A146" s="358" t="str">
        <f>'7.Bud.Inv.'!C17</f>
        <v>Photocopieuse + Imprimante</v>
      </c>
      <c r="B146" s="358"/>
      <c r="C146" s="268">
        <f>'5.Inv'!F16</f>
        <v>700000</v>
      </c>
      <c r="D146" s="268">
        <f>'5.Inv'!E16</f>
        <v>1</v>
      </c>
      <c r="E146" s="268">
        <f>'7.Bud.Inv.'!Q17</f>
        <v>700000</v>
      </c>
      <c r="F146" s="269">
        <f>'7.Bud.Inv.'!S17</f>
        <v>0</v>
      </c>
      <c r="G146" s="269">
        <f>'7.Bud.Inv.'!T17</f>
        <v>0</v>
      </c>
    </row>
    <row r="147" spans="1:13" customHeight="1" ht="17">
      <c r="A147" s="358" t="str">
        <f>'7.Bud.Inv.'!C18</f>
        <v>Caution et avance loyer</v>
      </c>
      <c r="B147" s="358"/>
      <c r="C147" s="268">
        <f>'5.Inv'!F17</f>
        <v>3300000</v>
      </c>
      <c r="D147" s="268">
        <f>'5.Inv'!E17</f>
        <v>1</v>
      </c>
      <c r="E147" s="268">
        <f>'7.Bud.Inv.'!Q18</f>
        <v>3300000</v>
      </c>
      <c r="F147" s="269">
        <f>'7.Bud.Inv.'!S18</f>
        <v>0</v>
      </c>
      <c r="G147" s="269">
        <f>'7.Bud.Inv.'!T18</f>
        <v>0</v>
      </c>
    </row>
    <row r="148" spans="1:13" customHeight="1" ht="15.5">
      <c r="A148" s="358" t="str">
        <f>'7.Bud.Inv.'!C19</f>
        <v>Branchement Téléphone et internet</v>
      </c>
      <c r="B148" s="358"/>
      <c r="C148" s="268">
        <f>'5.Inv'!F18</f>
        <v>0</v>
      </c>
      <c r="D148" s="268">
        <f>'5.Inv'!E18</f>
        <v>1</v>
      </c>
      <c r="E148" s="268">
        <f>'7.Bud.Inv.'!Q19</f>
        <v>0</v>
      </c>
      <c r="F148" s="269">
        <f>'7.Bud.Inv.'!S19</f>
        <v>0</v>
      </c>
      <c r="G148" s="269">
        <f>'7.Bud.Inv.'!T19</f>
        <v>0</v>
      </c>
    </row>
    <row r="149" spans="1:13" customHeight="1" ht="15.5">
      <c r="A149" s="358" t="str">
        <f>'7.Bud.Inv.'!C20</f>
        <v>Branchement CIE et SODECI</v>
      </c>
      <c r="B149" s="358"/>
      <c r="C149" s="268">
        <f>'5.Inv'!F19</f>
        <v>0</v>
      </c>
      <c r="D149" s="268">
        <f>'5.Inv'!E19</f>
        <v>1</v>
      </c>
      <c r="E149" s="268">
        <f>'7.Bud.Inv.'!Q20</f>
        <v>0</v>
      </c>
      <c r="F149" s="269">
        <f>'7.Bud.Inv.'!S20</f>
        <v>0</v>
      </c>
      <c r="G149" s="269">
        <f>'7.Bud.Inv.'!T20</f>
        <v>0</v>
      </c>
    </row>
    <row r="150" spans="1:13" customHeight="1" ht="17">
      <c r="A150" s="358" t="str">
        <f>'7.Bud.Inv.'!C21</f>
        <v>Bail foncier</v>
      </c>
      <c r="B150" s="358"/>
      <c r="C150" s="268">
        <f>'5.Inv'!F20</f>
        <v>0</v>
      </c>
      <c r="D150" s="268">
        <f>'5.Inv'!E20</f>
        <v>1</v>
      </c>
      <c r="E150" s="268">
        <f>'7.Bud.Inv.'!Q21</f>
        <v>0</v>
      </c>
      <c r="F150" s="269">
        <f>'7.Bud.Inv.'!S21</f>
        <v>0</v>
      </c>
      <c r="G150" s="269">
        <f>'7.Bud.Inv.'!T21</f>
        <v>0</v>
      </c>
    </row>
    <row r="151" spans="1:13" customHeight="1" ht="16">
      <c r="A151" s="266"/>
      <c r="B151" s="262"/>
      <c r="C151" s="262"/>
      <c r="D151" s="262"/>
      <c r="E151" s="262"/>
      <c r="F151" s="262"/>
      <c r="G151" s="262"/>
    </row>
    <row r="152" spans="1:13" customHeight="1" ht="16">
      <c r="A152" s="343" t="s">
        <v>90</v>
      </c>
      <c r="B152" s="343"/>
      <c r="C152" s="343"/>
      <c r="D152" s="343"/>
      <c r="E152" s="343"/>
      <c r="F152" s="343"/>
      <c r="G152" s="343"/>
    </row>
    <row r="153" spans="1:13" customHeight="1" ht="16">
      <c r="A153" s="364" t="s">
        <v>91</v>
      </c>
      <c r="B153" s="364"/>
      <c r="C153" s="364"/>
      <c r="D153" s="364"/>
      <c r="E153" s="364"/>
      <c r="F153" s="364"/>
      <c r="G153" s="364"/>
    </row>
    <row r="154" spans="1:13" customHeight="1" ht="16">
      <c r="A154" s="364" t="s">
        <v>92</v>
      </c>
      <c r="B154" s="364"/>
      <c r="C154" s="364"/>
      <c r="D154" s="364"/>
      <c r="E154" s="364"/>
      <c r="F154" s="364"/>
      <c r="G154" s="364"/>
    </row>
    <row r="155" spans="1:13" customHeight="1" ht="16">
      <c r="A155" s="266"/>
      <c r="B155" s="262"/>
      <c r="C155" s="262"/>
      <c r="D155" s="262"/>
      <c r="E155" s="262"/>
      <c r="F155" s="262"/>
      <c r="G155" s="262"/>
    </row>
    <row r="156" spans="1:13" customHeight="1" ht="16">
      <c r="A156" s="266"/>
      <c r="B156" s="262"/>
      <c r="C156" s="262"/>
      <c r="D156" s="262"/>
      <c r="E156" s="262"/>
      <c r="F156" s="262"/>
      <c r="G156" s="262"/>
    </row>
    <row r="157" spans="1:13" customHeight="1" ht="16">
      <c r="A157" s="343" t="s">
        <v>93</v>
      </c>
      <c r="B157" s="343"/>
      <c r="C157" s="343"/>
      <c r="D157" s="343"/>
      <c r="E157" s="343"/>
      <c r="F157" s="343"/>
      <c r="G157" s="343"/>
    </row>
    <row r="158" spans="1:13" customHeight="1" ht="33.75">
      <c r="A158" s="347" t="s">
        <v>82</v>
      </c>
      <c r="B158" s="347"/>
      <c r="C158" s="347"/>
      <c r="D158" s="347"/>
      <c r="E158" s="347"/>
      <c r="F158" s="347"/>
      <c r="G158" s="347"/>
    </row>
    <row r="159" spans="1:13" customHeight="1" ht="17.25">
      <c r="A159" s="270"/>
      <c r="B159" s="270"/>
      <c r="C159" s="270"/>
      <c r="D159" s="270"/>
      <c r="E159" s="270"/>
      <c r="F159" s="270"/>
      <c r="G159" s="270"/>
    </row>
    <row r="160" spans="1:13" customHeight="1" ht="16">
      <c r="A160" s="343" t="s">
        <v>94</v>
      </c>
      <c r="B160" s="343"/>
      <c r="C160" s="343"/>
      <c r="D160" s="343"/>
      <c r="E160" s="343"/>
      <c r="F160" s="343"/>
      <c r="G160" s="343"/>
    </row>
    <row r="161" spans="1:13" customHeight="1" ht="33.75">
      <c r="A161" s="347" t="s">
        <v>82</v>
      </c>
      <c r="B161" s="347"/>
      <c r="C161" s="347"/>
      <c r="D161" s="347"/>
      <c r="E161" s="347"/>
      <c r="F161" s="347"/>
      <c r="G161" s="347"/>
    </row>
    <row r="162" spans="1:13" customHeight="1" ht="26.25">
      <c r="A162" s="347"/>
      <c r="B162" s="347"/>
      <c r="C162" s="347"/>
      <c r="D162" s="347"/>
      <c r="E162" s="347"/>
      <c r="F162" s="347"/>
      <c r="G162" s="347"/>
    </row>
    <row r="163" spans="1:13" customHeight="1" ht="20.25">
      <c r="A163" s="347"/>
      <c r="B163" s="347"/>
      <c r="C163" s="347"/>
      <c r="D163" s="347"/>
      <c r="E163" s="347"/>
      <c r="F163" s="347"/>
      <c r="G163" s="347"/>
    </row>
    <row r="164" spans="1:13">
      <c r="A164" s="271"/>
      <c r="B164" s="262"/>
      <c r="C164" s="262"/>
      <c r="D164" s="262"/>
      <c r="E164" s="262"/>
      <c r="F164" s="262"/>
      <c r="G164" s="262"/>
    </row>
    <row r="165" spans="1:13" customHeight="1" ht="16">
      <c r="A165" s="343" t="s">
        <v>95</v>
      </c>
      <c r="B165" s="343"/>
      <c r="C165" s="343"/>
      <c r="D165" s="343"/>
      <c r="E165" s="343"/>
      <c r="F165" s="343"/>
      <c r="G165" s="343"/>
    </row>
    <row r="166" spans="1:13">
      <c r="A166" s="272"/>
      <c r="B166" s="273"/>
      <c r="C166" s="273"/>
      <c r="D166" s="273"/>
      <c r="E166" s="273"/>
      <c r="F166" s="273"/>
      <c r="G166" s="273"/>
    </row>
    <row r="167" spans="1:13" customHeight="1" ht="16">
      <c r="A167" s="337" t="s">
        <v>96</v>
      </c>
      <c r="B167" s="337"/>
      <c r="C167" s="337"/>
      <c r="D167" s="337"/>
      <c r="E167" s="337"/>
      <c r="F167" s="337"/>
      <c r="G167" s="337"/>
    </row>
    <row r="168" spans="1:13" customHeight="1" ht="17">
      <c r="A168" s="274"/>
      <c r="B168" s="273"/>
      <c r="C168" s="273"/>
      <c r="D168" s="273"/>
      <c r="E168" s="273"/>
      <c r="F168" s="273"/>
      <c r="G168" s="273"/>
    </row>
    <row r="169" spans="1:13" customHeight="1" ht="15">
      <c r="A169" s="348" t="s">
        <v>97</v>
      </c>
      <c r="B169" s="349"/>
      <c r="C169" s="349"/>
      <c r="D169" s="350"/>
      <c r="E169" s="209" t="s">
        <v>98</v>
      </c>
      <c r="F169" s="197" t="s">
        <v>86</v>
      </c>
      <c r="G169" s="197" t="s">
        <v>66</v>
      </c>
    </row>
    <row r="170" spans="1:13" customHeight="1" ht="15">
      <c r="A170" s="351"/>
      <c r="B170" s="352"/>
      <c r="C170" s="352"/>
      <c r="D170" s="353"/>
      <c r="E170" s="159"/>
      <c r="F170" s="159"/>
      <c r="G170" s="159"/>
    </row>
    <row r="171" spans="1:13" customHeight="1" ht="15">
      <c r="A171" s="344" t="s">
        <v>99</v>
      </c>
      <c r="B171" s="345"/>
      <c r="C171" s="345"/>
      <c r="D171" s="346"/>
      <c r="E171" s="160" t="str">
        <f>E173</f>
        <v>3 mois</v>
      </c>
      <c r="F171" s="160"/>
      <c r="G171" s="160"/>
    </row>
    <row r="172" spans="1:13" customHeight="1" ht="15">
      <c r="A172" s="344"/>
      <c r="B172" s="345"/>
      <c r="C172" s="345"/>
      <c r="D172" s="346"/>
      <c r="E172" s="161"/>
      <c r="F172" s="159"/>
      <c r="G172" s="159"/>
    </row>
    <row r="173" spans="1:13" customHeight="1" ht="15">
      <c r="A173" s="344" t="s">
        <v>100</v>
      </c>
      <c r="B173" s="345"/>
      <c r="C173" s="345"/>
      <c r="D173" s="346"/>
      <c r="E173" s="162" t="str">
        <f>_xlfn.CONCAT(E174," mois")</f>
        <v>3 mois</v>
      </c>
      <c r="F173" s="163">
        <f>SUM(F174:F180)</f>
        <v>6200</v>
      </c>
      <c r="G173" s="164">
        <f>SUM(G174:G180)</f>
        <v>18600</v>
      </c>
    </row>
    <row r="174" spans="1:13" customHeight="1" ht="15">
      <c r="A174" s="165" t="str">
        <f>'21.BFR'!B4</f>
        <v>Achat de Tenue de luxe Homme</v>
      </c>
      <c r="B174" s="166"/>
      <c r="C174" s="166"/>
      <c r="D174" s="167"/>
      <c r="E174" s="168">
        <f>'21.BFR'!E4</f>
        <v>3</v>
      </c>
      <c r="F174" s="169">
        <f>'21.BFR'!D4</f>
        <v>6000</v>
      </c>
      <c r="G174" s="169">
        <f>'21.BFR'!G4</f>
        <v>18000</v>
      </c>
    </row>
    <row r="175" spans="1:13" customHeight="1" ht="15">
      <c r="A175" s="165">
        <f>'21.BFR'!B9</f>
        <v/>
      </c>
      <c r="B175" s="166"/>
      <c r="C175" s="166"/>
      <c r="D175" s="167"/>
      <c r="E175" s="168">
        <f>'21.BFR'!E9</f>
        <v>3</v>
      </c>
      <c r="F175" s="169">
        <f>'21.BFR'!D9</f>
        <v/>
      </c>
      <c r="G175" s="169">
        <f>'21.BFR'!G9</f>
        <v>0</v>
      </c>
    </row>
    <row r="176" spans="1:13" customHeight="1" ht="15">
      <c r="A176" s="165">
        <f>'21.BFR'!B10</f>
        <v/>
      </c>
      <c r="B176" s="166"/>
      <c r="C176" s="166"/>
      <c r="D176" s="167"/>
      <c r="E176" s="168">
        <f>'21.BFR'!E10</f>
        <v>3</v>
      </c>
      <c r="F176" s="169">
        <f>'21.BFR'!D10</f>
        <v/>
      </c>
      <c r="G176" s="169">
        <f>'21.BFR'!G10</f>
        <v>0</v>
      </c>
    </row>
    <row r="177" spans="1:13" customHeight="1" ht="15">
      <c r="A177" s="165">
        <f>'21.BFR'!B11</f>
        <v/>
      </c>
      <c r="B177" s="166"/>
      <c r="C177" s="166"/>
      <c r="D177" s="167"/>
      <c r="E177" s="168">
        <f>'21.BFR'!E11</f>
        <v>3</v>
      </c>
      <c r="F177" s="169">
        <f>'21.BFR'!D11</f>
        <v/>
      </c>
      <c r="G177" s="169">
        <f>'21.BFR'!G11</f>
        <v>0</v>
      </c>
    </row>
    <row r="178" spans="1:13" customHeight="1" ht="15">
      <c r="A178" s="165">
        <f>'21.BFR'!B12</f>
        <v/>
      </c>
      <c r="B178" s="166"/>
      <c r="C178" s="166"/>
      <c r="D178" s="167"/>
      <c r="E178" s="168">
        <f>'21.BFR'!E12</f>
        <v>3</v>
      </c>
      <c r="F178" s="169">
        <f>'21.BFR'!D12</f>
        <v/>
      </c>
      <c r="G178" s="169">
        <f>'21.BFR'!G12</f>
        <v>0</v>
      </c>
    </row>
    <row r="179" spans="1:13" customHeight="1" ht="15">
      <c r="A179" s="165">
        <f>'21.BFR'!B13</f>
        <v/>
      </c>
      <c r="B179" s="166"/>
      <c r="C179" s="166"/>
      <c r="D179" s="167"/>
      <c r="E179" s="168">
        <f>'21.BFR'!E13</f>
        <v>3</v>
      </c>
      <c r="F179" s="169">
        <f>'21.BFR'!D13</f>
        <v/>
      </c>
      <c r="G179" s="169">
        <f>'21.BFR'!G13</f>
        <v>0</v>
      </c>
    </row>
    <row r="180" spans="1:13" customHeight="1" ht="15">
      <c r="A180" s="165" t="str">
        <f>'21.BFR'!B14</f>
        <v>Logistique Tenue de luxe Homme</v>
      </c>
      <c r="B180" s="166"/>
      <c r="C180" s="166"/>
      <c r="D180" s="167"/>
      <c r="E180" s="168">
        <f>'21.BFR'!E14</f>
        <v>3</v>
      </c>
      <c r="F180" s="169">
        <f>'21.BFR'!D14</f>
        <v>200</v>
      </c>
      <c r="G180" s="169">
        <f>'21.BFR'!G14</f>
        <v>600</v>
      </c>
    </row>
    <row r="181" spans="1:13" customHeight="1" ht="15">
      <c r="A181" s="165">
        <f>'21.BFR'!B26</f>
        <v/>
      </c>
      <c r="B181" s="166"/>
      <c r="C181" s="166"/>
      <c r="D181" s="167"/>
      <c r="E181" s="168">
        <f>'21.BFR'!E26</f>
        <v>3</v>
      </c>
      <c r="F181" s="169">
        <f>'21.BFR'!D26</f>
        <v/>
      </c>
      <c r="G181" s="169">
        <f>'21.BFR'!G26</f>
        <v>0</v>
      </c>
    </row>
    <row r="182" spans="1:13" customHeight="1" ht="15">
      <c r="A182" s="165" t="str">
        <f>'21.BFR'!B27</f>
        <v>Salaire personnel</v>
      </c>
      <c r="B182" s="166"/>
      <c r="C182" s="166"/>
      <c r="D182" s="167"/>
      <c r="E182" s="168">
        <f>'21.BFR'!E27</f>
        <v>3</v>
      </c>
      <c r="F182" s="169">
        <f>'21.BFR'!D27</f>
        <v>0.22</v>
      </c>
      <c r="G182" s="169">
        <f>'21.BFR'!G27</f>
        <v>0.66</v>
      </c>
    </row>
    <row r="183" spans="1:13" customHeight="1" ht="15">
      <c r="A183" s="165" t="str">
        <f>'21.BFR'!B28</f>
        <v>Timbre</v>
      </c>
      <c r="B183" s="166"/>
      <c r="C183" s="166"/>
      <c r="D183" s="167"/>
      <c r="E183" s="168">
        <f>'21.BFR'!E28</f>
        <v>3</v>
      </c>
      <c r="F183" s="169">
        <f>'21.BFR'!D28</f>
        <v>0.0048</v>
      </c>
      <c r="G183" s="169">
        <f>'21.BFR'!G28</f>
        <v>0.0144</v>
      </c>
    </row>
    <row r="184" spans="1:13" customHeight="1" ht="15">
      <c r="A184" s="165" t="str">
        <f>'21.BFR'!B29</f>
        <v>BIC</v>
      </c>
      <c r="B184" s="166"/>
      <c r="C184" s="166"/>
      <c r="D184" s="167"/>
      <c r="E184" s="168">
        <f>'21.BFR'!E29</f>
        <v>3</v>
      </c>
      <c r="F184" s="169">
        <f>'21.BFR'!D29</f>
        <v>0.0307</v>
      </c>
      <c r="G184" s="169">
        <f>'21.BFR'!G29</f>
        <v>0.0921</v>
      </c>
    </row>
    <row r="185" spans="1:13" customHeight="1" ht="15">
      <c r="A185" s="165" t="str">
        <f>'21.BFR'!B30</f>
        <v>Sponsoring page réseaux sociaux</v>
      </c>
      <c r="B185" s="166"/>
      <c r="C185" s="166"/>
      <c r="D185" s="167"/>
      <c r="E185" s="168">
        <f>'21.BFR'!E30</f>
        <v>1</v>
      </c>
      <c r="F185" s="169">
        <f>'21.BFR'!D30</f>
        <v>1900000</v>
      </c>
      <c r="G185" s="169">
        <f>'21.BFR'!G30</f>
        <v>1900000</v>
      </c>
    </row>
    <row r="186" spans="1:13" customHeight="1" ht="15">
      <c r="A186" s="165" t="str">
        <f>'21.BFR'!B31</f>
        <v>Frais administration</v>
      </c>
      <c r="B186" s="166"/>
      <c r="C186" s="166"/>
      <c r="D186" s="167"/>
      <c r="E186" s="168">
        <f>'21.BFR'!E31</f>
        <v>3</v>
      </c>
      <c r="F186" s="169">
        <f>'21.BFR'!D31</f>
        <v>25000</v>
      </c>
      <c r="G186" s="169">
        <f>'21.BFR'!G31</f>
        <v>75000</v>
      </c>
    </row>
    <row r="187" spans="1:13" customHeight="1" ht="15">
      <c r="A187" s="165" t="str">
        <f>'21.BFR'!B32</f>
        <v>Eau</v>
      </c>
      <c r="B187" s="166"/>
      <c r="C187" s="166"/>
      <c r="D187" s="167"/>
      <c r="E187" s="168">
        <f>'21.BFR'!E32</f>
        <v>3</v>
      </c>
      <c r="F187" s="169">
        <f>'21.BFR'!D32</f>
        <v>82500</v>
      </c>
      <c r="G187" s="169">
        <f>'21.BFR'!G32</f>
        <v>247500</v>
      </c>
    </row>
    <row r="188" spans="1:13" customHeight="1" ht="15">
      <c r="A188" s="165" t="str">
        <f>'21.BFR'!B33</f>
        <v>Carburant</v>
      </c>
      <c r="B188" s="166"/>
      <c r="C188" s="166"/>
      <c r="D188" s="167"/>
      <c r="E188" s="168">
        <f>'21.BFR'!E33</f>
        <v>3</v>
      </c>
      <c r="F188" s="169">
        <f>'21.BFR'!D33</f>
        <v>50000</v>
      </c>
      <c r="G188" s="169">
        <f>'21.BFR'!G33</f>
        <v>150000</v>
      </c>
    </row>
    <row r="189" spans="1:13" customHeight="1" ht="15">
      <c r="A189" s="165" t="str">
        <f>'21.BFR'!B34</f>
        <v>Telephone / Internet</v>
      </c>
      <c r="B189" s="166"/>
      <c r="C189" s="166"/>
      <c r="D189" s="167"/>
      <c r="E189" s="168">
        <f>'21.BFR'!E34</f>
        <v>3</v>
      </c>
      <c r="F189" s="169">
        <f>'21.BFR'!D34</f>
        <v>50000</v>
      </c>
      <c r="G189" s="169">
        <f>'21.BFR'!G34</f>
        <v>150000</v>
      </c>
    </row>
    <row r="190" spans="1:13" customHeight="1" ht="15">
      <c r="A190" s="165">
        <f>'21.BFR'!B35</f>
        <v/>
      </c>
      <c r="B190" s="166"/>
      <c r="C190" s="166"/>
      <c r="D190" s="167"/>
      <c r="E190" s="168">
        <f>'21.BFR'!E35</f>
        <v>3</v>
      </c>
      <c r="F190" s="169">
        <f>'21.BFR'!D35</f>
        <v/>
      </c>
      <c r="G190" s="169">
        <f>'21.BFR'!G35</f>
        <v>0</v>
      </c>
    </row>
    <row r="191" spans="1:13" customHeight="1" ht="15">
      <c r="A191" s="165" t="str">
        <f>'21.BFR'!B36</f>
        <v>Loyer</v>
      </c>
      <c r="B191" s="166"/>
      <c r="C191" s="166"/>
      <c r="D191" s="167"/>
      <c r="E191" s="168">
        <f>'21.BFR'!E36</f>
        <v>0</v>
      </c>
      <c r="F191" s="169">
        <f>'21.BFR'!D36</f>
        <v>250000</v>
      </c>
      <c r="G191" s="169">
        <f>'21.BFR'!G36</f>
        <v>0</v>
      </c>
    </row>
    <row r="192" spans="1:13" customHeight="1" ht="15">
      <c r="A192" s="165" t="str">
        <f>'21.BFR'!B37</f>
        <v>Assurance voiture</v>
      </c>
      <c r="B192" s="166"/>
      <c r="C192" s="166"/>
      <c r="D192" s="167"/>
      <c r="E192" s="168">
        <f>'21.BFR'!E37</f>
        <v>3</v>
      </c>
      <c r="F192" s="169">
        <f>'21.BFR'!D37</f>
        <v>12000</v>
      </c>
      <c r="G192" s="169">
        <f>'21.BFR'!G37</f>
        <v>36000</v>
      </c>
    </row>
    <row r="193" spans="1:13" customHeight="1" ht="15">
      <c r="A193" s="165" t="str">
        <f>'21.BFR'!B38</f>
        <v>Frais Infogérance</v>
      </c>
      <c r="B193" s="166"/>
      <c r="C193" s="166"/>
      <c r="D193" s="167"/>
      <c r="E193" s="168">
        <f>'21.BFR'!E38</f>
        <v>3</v>
      </c>
      <c r="F193" s="169">
        <f>'21.BFR'!D38</f>
        <v>380000</v>
      </c>
      <c r="G193" s="169">
        <f>'21.BFR'!G38</f>
        <v>1140000</v>
      </c>
    </row>
    <row r="194" spans="1:13" customHeight="1" ht="15">
      <c r="A194" s="165">
        <f>'21.BFR'!B39</f>
        <v/>
      </c>
      <c r="B194" s="166"/>
      <c r="C194" s="166"/>
      <c r="D194" s="167"/>
      <c r="E194" s="168">
        <f>'21.BFR'!E39</f>
        <v>3</v>
      </c>
      <c r="F194" s="169">
        <f>'21.BFR'!D39</f>
        <v/>
      </c>
      <c r="G194" s="169">
        <f>'21.BFR'!G39</f>
        <v>0</v>
      </c>
    </row>
    <row r="195" spans="1:13" customHeight="1" ht="15">
      <c r="A195" s="165">
        <f>'21.BFR'!B40</f>
        <v/>
      </c>
      <c r="B195" s="166"/>
      <c r="C195" s="166"/>
      <c r="D195" s="167"/>
      <c r="E195" s="168">
        <f>'21.BFR'!E40</f>
        <v>3</v>
      </c>
      <c r="F195" s="169">
        <f>'21.BFR'!D40</f>
        <v/>
      </c>
      <c r="G195" s="169">
        <f>'21.BFR'!G40</f>
        <v>0</v>
      </c>
    </row>
    <row r="196" spans="1:13" customHeight="1" ht="15">
      <c r="A196" s="165" t="str">
        <f>'21.BFR'!B41</f>
        <v>Amortissement équipement.</v>
      </c>
      <c r="B196" s="166"/>
      <c r="C196" s="166"/>
      <c r="D196" s="167"/>
      <c r="E196" s="168">
        <f>'21.BFR'!E41</f>
        <v>3</v>
      </c>
      <c r="F196" s="169">
        <f>'21.BFR'!D41</f>
        <v>0.0351</v>
      </c>
      <c r="G196" s="169">
        <f>'21.BFR'!G41</f>
        <v>0.1053</v>
      </c>
    </row>
    <row r="197" spans="1:13" customHeight="1" ht="15">
      <c r="A197" s="170" t="str">
        <f>[1]CmptRes!A81</f>
        <v>TOTAL</v>
      </c>
      <c r="B197" s="171"/>
      <c r="C197" s="171"/>
      <c r="D197" s="172"/>
      <c r="E197" s="161"/>
      <c r="F197" s="169"/>
      <c r="G197" s="173">
        <f>[1]CmptRes!D81</f>
        <v>33407053</v>
      </c>
    </row>
    <row r="198" spans="1:13" customHeight="1" ht="16">
      <c r="A198" s="274"/>
      <c r="B198" s="273"/>
      <c r="C198" s="273"/>
      <c r="D198" s="273"/>
      <c r="E198" s="273"/>
      <c r="F198" s="273"/>
      <c r="G198" s="273"/>
    </row>
    <row r="199" spans="1:13" customHeight="1" ht="17">
      <c r="A199" s="378" t="s">
        <v>101</v>
      </c>
      <c r="B199" s="378"/>
      <c r="C199" s="378"/>
      <c r="D199" s="378"/>
      <c r="E199" s="378"/>
      <c r="F199" s="378"/>
      <c r="G199" s="378"/>
    </row>
    <row r="200" spans="1:13" customHeight="1" ht="29">
      <c r="A200" s="174" t="s">
        <v>102</v>
      </c>
      <c r="B200" s="209" t="s">
        <v>103</v>
      </c>
      <c r="C200" s="197" t="s">
        <v>104</v>
      </c>
      <c r="D200" s="197" t="s">
        <v>66</v>
      </c>
      <c r="E200" s="197" t="s">
        <v>105</v>
      </c>
      <c r="F200" s="273"/>
      <c r="G200" s="273"/>
    </row>
    <row r="201" spans="1:13" customHeight="1" ht="15">
      <c r="A201" s="188" t="s">
        <v>106</v>
      </c>
      <c r="B201" s="175"/>
      <c r="C201" s="175"/>
      <c r="D201" s="175"/>
      <c r="E201" s="175"/>
      <c r="F201" s="273"/>
      <c r="G201" s="273"/>
    </row>
    <row r="202" spans="1:13" customHeight="1" ht="15">
      <c r="A202" s="176" t="s">
        <v>107</v>
      </c>
      <c r="B202" s="242">
        <f>SUMIF('21.BFR'!$F$3:$F$42,'1.Var.Fin'!$B$18,'21.BFR'!$G$3:$G$41)</f>
        <v>0</v>
      </c>
      <c r="C202" s="242">
        <f>SUMIF('21.BFR'!$F$3:$F$42,'1.Var.Fin'!$B$18,'21.BFR'!$G$3:$G$41)+SUMIF('21.BFR'!$F$3:$F$42,'1.Var.Fin'!$B$12,'21.BFR'!$G$3:$G$41)</f>
        <v>3698500.8718</v>
      </c>
      <c r="D202" s="178">
        <f>SUM(B202:C202)</f>
        <v>3698500.8718</v>
      </c>
      <c r="E202" s="179">
        <f>D202/$D$204</f>
        <v>0.1396888868333</v>
      </c>
      <c r="F202" s="273"/>
      <c r="G202" s="273"/>
    </row>
    <row r="203" spans="1:13" customHeight="1" ht="15">
      <c r="A203" s="181" t="s">
        <v>27</v>
      </c>
      <c r="B203" s="242">
        <f>SUMIF('7.Bud.Inv.'!$D$3:$D$22,'1.Var.Fin'!$B$18,'7.Bud.Inv.'!$Q$3:$Q$22)</f>
        <v>0</v>
      </c>
      <c r="C203" s="182">
        <f>SUMIF('7.Bud.Inv.'!$D$3:$D$22,'1.Var.Fin'!$B$6,'7.Bud.Inv.'!$Q$3:$Q$22)+SUMIF('7.Bud.Inv.'!$D$3:$D$22,'1.Var.Fin'!$B$12,'7.Bud.Inv.'!$Q$3:$Q$22)</f>
        <v>22778200</v>
      </c>
      <c r="D203" s="178">
        <f>SUM(B203:C203)</f>
        <v>22778200</v>
      </c>
      <c r="E203" s="183">
        <f>D203/$D$204</f>
        <v>0.8603111131667</v>
      </c>
      <c r="F203" s="273"/>
      <c r="G203" s="273"/>
    </row>
    <row r="204" spans="1:13" customHeight="1" ht="15" s="124" customFormat="1">
      <c r="A204" s="185" t="s">
        <v>108</v>
      </c>
      <c r="B204" s="186">
        <f>SUM(B202:B203)</f>
        <v>0</v>
      </c>
      <c r="C204" s="186">
        <f>SUM(C202:C203)</f>
        <v>26476700.8718</v>
      </c>
      <c r="D204" s="186">
        <f>SUM(D202:D203)</f>
        <v>26476700.8718</v>
      </c>
      <c r="E204" s="187">
        <f>D204/$D$204</f>
        <v>1</v>
      </c>
      <c r="F204" s="275"/>
      <c r="G204" s="275"/>
    </row>
    <row r="205" spans="1:13" customHeight="1" ht="15">
      <c r="A205" s="188" t="s">
        <v>109</v>
      </c>
      <c r="B205" s="177"/>
      <c r="C205" s="177"/>
      <c r="D205" s="184"/>
      <c r="E205" s="180"/>
      <c r="F205" s="273"/>
      <c r="G205" s="273"/>
    </row>
    <row r="206" spans="1:13" customHeight="1" ht="15">
      <c r="A206" s="181" t="s">
        <v>110</v>
      </c>
      <c r="B206" s="182">
        <f>+'4.Cal.Amo.AI'!B4</f>
        <v>0</v>
      </c>
      <c r="C206" s="182">
        <f>'3.Cal.Amo.LT'!B4</f>
        <v>22854700</v>
      </c>
      <c r="D206" s="243">
        <f>SUM(B206:C206)</f>
        <v>22854700</v>
      </c>
      <c r="E206" s="183">
        <f>D206/$D$208</f>
        <v>0.86071355805063</v>
      </c>
      <c r="F206" s="273"/>
      <c r="G206" s="273"/>
    </row>
    <row r="207" spans="1:13" customHeight="1" ht="15">
      <c r="A207" s="181" t="s">
        <v>111</v>
      </c>
      <c r="B207" s="182">
        <f>+'4.Cal.Amo.AI'!B4</f>
        <v>0</v>
      </c>
      <c r="C207" s="182">
        <f>'2.Cal.Amo.CT'!B4</f>
        <v>3698500.8718</v>
      </c>
      <c r="D207" s="178">
        <f>SUM(B207:C207)</f>
        <v>3698500.8718</v>
      </c>
      <c r="E207" s="183">
        <f>D207/$D$208</f>
        <v>0.13928644194937</v>
      </c>
      <c r="F207" s="273"/>
      <c r="G207" s="273"/>
    </row>
    <row r="208" spans="1:13" customHeight="1" ht="15">
      <c r="A208" s="185" t="s">
        <v>112</v>
      </c>
      <c r="B208" s="186">
        <f>SUM(B206:B207)</f>
        <v>0</v>
      </c>
      <c r="C208" s="186">
        <f>SUM(C206:C207)</f>
        <v>26553200.8718</v>
      </c>
      <c r="D208" s="186">
        <f>SUM(D206:D207)</f>
        <v>26553200.8718</v>
      </c>
      <c r="E208" s="187">
        <f>D208/$D$208</f>
        <v>1</v>
      </c>
      <c r="F208" s="273"/>
      <c r="G208" s="273"/>
    </row>
    <row r="209" spans="1:13" customHeight="1" ht="15">
      <c r="A209" s="188" t="s">
        <v>113</v>
      </c>
      <c r="B209" s="189">
        <f>B208/$D$208</f>
        <v>0</v>
      </c>
      <c r="C209" s="189">
        <f>C208/$D$208</f>
        <v>1</v>
      </c>
      <c r="D209" s="189">
        <f>D208/$D$208</f>
        <v>1</v>
      </c>
      <c r="E209" s="190"/>
      <c r="F209" s="273"/>
      <c r="G209" s="273"/>
    </row>
    <row r="210" spans="1:13" customHeight="1" ht="16">
      <c r="A210" s="274"/>
      <c r="B210" s="273"/>
      <c r="C210" s="273"/>
      <c r="D210" s="273"/>
      <c r="E210" s="273"/>
      <c r="F210" s="273"/>
      <c r="G210" s="273"/>
    </row>
    <row r="211" spans="1:13" customHeight="1" ht="17">
      <c r="A211" s="333" t="s">
        <v>114</v>
      </c>
      <c r="B211" s="333"/>
      <c r="C211" s="333"/>
      <c r="D211" s="333"/>
      <c r="E211" s="333"/>
      <c r="F211" s="333"/>
      <c r="G211" s="333"/>
    </row>
    <row r="212" spans="1:13" customHeight="1" ht="15">
      <c r="A212" s="192" t="s">
        <v>115</v>
      </c>
      <c r="B212" s="209" t="s">
        <v>116</v>
      </c>
      <c r="C212" s="209" t="s">
        <v>117</v>
      </c>
      <c r="D212" s="209" t="s">
        <v>118</v>
      </c>
      <c r="E212" s="209" t="s">
        <v>119</v>
      </c>
      <c r="F212" s="209" t="s">
        <v>120</v>
      </c>
      <c r="G212" s="273"/>
    </row>
    <row r="213" spans="1:13" customHeight="1" ht="15">
      <c r="A213" s="193" t="str">
        <f>'10.Vente'!B5</f>
        <v>CA de Tenue de luxe Homme</v>
      </c>
      <c r="B213" s="194">
        <f>'10.Vente'!P5</f>
        <v>14400000</v>
      </c>
      <c r="C213" s="194">
        <f>'10.Vente'!Q5</f>
        <v>15840000</v>
      </c>
      <c r="D213" s="194">
        <f>'10.Vente'!R5</f>
        <v>17424000</v>
      </c>
      <c r="E213" s="194">
        <f>'10.Vente'!S5</f>
        <v>0</v>
      </c>
      <c r="F213" s="194">
        <f>'10.Vente'!T5</f>
        <v>0</v>
      </c>
      <c r="G213" s="273"/>
    </row>
    <row r="214" spans="1:13" customHeight="1" ht="15">
      <c r="A214" s="193">
        <f>'10.Vente'!B9</f>
        <v/>
      </c>
      <c r="B214" s="194">
        <f>'10.Vente'!P9</f>
        <v>0</v>
      </c>
      <c r="C214" s="194">
        <f>'10.Vente'!Q9</f>
        <v>0</v>
      </c>
      <c r="D214" s="194">
        <f>'10.Vente'!R9</f>
        <v>0</v>
      </c>
      <c r="E214" s="194">
        <f>'10.Vente'!S9</f>
        <v>0</v>
      </c>
      <c r="F214" s="194">
        <f>'10.Vente'!T9</f>
        <v>0</v>
      </c>
      <c r="G214" s="273"/>
    </row>
    <row r="215" spans="1:13" customHeight="1" ht="15">
      <c r="A215" s="193">
        <f>'10.Vente'!B10</f>
        <v/>
      </c>
      <c r="B215" s="194">
        <f>'10.Vente'!P10</f>
        <v>0</v>
      </c>
      <c r="C215" s="194">
        <f>'10.Vente'!Q10</f>
        <v>0</v>
      </c>
      <c r="D215" s="194">
        <f>'10.Vente'!R10</f>
        <v>0</v>
      </c>
      <c r="E215" s="194">
        <f>'10.Vente'!S10</f>
        <v>0</v>
      </c>
      <c r="F215" s="194">
        <f>'10.Vente'!T10</f>
        <v>0</v>
      </c>
      <c r="G215" s="273"/>
    </row>
    <row r="216" spans="1:13" customHeight="1" ht="15">
      <c r="A216" s="193">
        <f>'10.Vente'!B11</f>
        <v/>
      </c>
      <c r="B216" s="194">
        <f>'10.Vente'!P11</f>
        <v>0</v>
      </c>
      <c r="C216" s="194">
        <f>'10.Vente'!Q11</f>
        <v>0</v>
      </c>
      <c r="D216" s="194">
        <f>'10.Vente'!R11</f>
        <v>0</v>
      </c>
      <c r="E216" s="194">
        <f>'10.Vente'!S11</f>
        <v>0</v>
      </c>
      <c r="F216" s="194">
        <f>'10.Vente'!T11</f>
        <v>0</v>
      </c>
      <c r="G216" s="273"/>
    </row>
    <row r="217" spans="1:13" customHeight="1" ht="15">
      <c r="A217" s="195" t="str">
        <f>[1]CmptRes!J11</f>
        <v>Recettes</v>
      </c>
      <c r="B217" s="196">
        <f>[1]CmptRes!K11</f>
        <v>244723500</v>
      </c>
      <c r="C217" s="196">
        <f>[1]CmptRes!L11</f>
        <v>244723500</v>
      </c>
      <c r="D217" s="196">
        <f>[1]CmptRes!M11</f>
        <v>269195850</v>
      </c>
      <c r="E217" s="196">
        <f>[1]CmptRes!N11</f>
        <v>296115435</v>
      </c>
      <c r="F217" s="196">
        <f>[1]CmptRes!O11</f>
        <v>325726978.5</v>
      </c>
      <c r="G217" s="273"/>
    </row>
    <row r="218" spans="1:13" customHeight="1" ht="15">
      <c r="A218" s="272"/>
      <c r="B218" s="273"/>
      <c r="C218" s="273"/>
      <c r="D218" s="273"/>
      <c r="E218" s="273"/>
      <c r="F218" s="273"/>
      <c r="G218" s="273"/>
    </row>
    <row r="219" spans="1:13" customHeight="1" ht="15">
      <c r="A219" s="276"/>
      <c r="B219" s="379" t="s">
        <v>121</v>
      </c>
      <c r="C219" s="380"/>
      <c r="D219" s="380"/>
      <c r="E219" s="380"/>
      <c r="F219" s="381"/>
      <c r="G219" s="273"/>
    </row>
    <row r="220" spans="1:13" customHeight="1" ht="15">
      <c r="A220" s="277"/>
      <c r="B220" s="198" t="s">
        <v>122</v>
      </c>
      <c r="C220" s="209" t="s">
        <v>123</v>
      </c>
      <c r="D220" s="209" t="s">
        <v>124</v>
      </c>
      <c r="E220" s="209" t="s">
        <v>125</v>
      </c>
      <c r="F220" s="209" t="s">
        <v>126</v>
      </c>
      <c r="G220" s="273"/>
    </row>
    <row r="221" spans="1:13" customHeight="1" ht="15">
      <c r="A221" s="199" t="str">
        <f>A213</f>
        <v>CA de Tenue de luxe Homme</v>
      </c>
      <c r="B221" s="194">
        <f>'[1]2.1.Hyp'!K8</f>
        <v>7</v>
      </c>
      <c r="C221" s="194">
        <f>'[1]2.1.Hyp'!L8</f>
        <v>7</v>
      </c>
      <c r="D221" s="194">
        <f>'[1]2.1.Hyp'!M8</f>
        <v>7.7</v>
      </c>
      <c r="E221" s="194">
        <f>'[1]2.1.Hyp'!N8</f>
        <v>8.47</v>
      </c>
      <c r="F221" s="194">
        <f>'[1]2.1.Hyp'!O8</f>
        <v>9.317</v>
      </c>
      <c r="G221" s="273"/>
    </row>
    <row r="222" spans="1:13">
      <c r="A222" s="276"/>
      <c r="B222" s="273"/>
      <c r="C222" s="273"/>
      <c r="D222" s="273"/>
      <c r="E222" s="273"/>
      <c r="F222" s="273"/>
      <c r="G222" s="273"/>
    </row>
    <row r="223" spans="1:13" customHeight="1" ht="16">
      <c r="A223" s="336" t="s">
        <v>127</v>
      </c>
      <c r="B223" s="336"/>
      <c r="C223" s="336"/>
      <c r="D223" s="336"/>
      <c r="E223" s="336"/>
      <c r="F223" s="336"/>
      <c r="G223" s="336"/>
    </row>
    <row r="224" spans="1:13" customHeight="1" ht="16">
      <c r="A224" s="337" t="s">
        <v>128</v>
      </c>
      <c r="B224" s="337"/>
      <c r="C224" s="337"/>
      <c r="D224" s="337"/>
      <c r="E224" s="337"/>
      <c r="F224" s="337"/>
      <c r="G224" s="337"/>
    </row>
    <row r="225" spans="1:13" customHeight="1" ht="15">
      <c r="A225" s="272"/>
      <c r="B225" s="273"/>
      <c r="C225" s="273"/>
      <c r="D225" s="273"/>
      <c r="E225" s="273"/>
      <c r="F225" s="273"/>
      <c r="G225" s="273"/>
    </row>
    <row r="226" spans="1:13" customHeight="1" ht="15">
      <c r="A226" s="200" t="s">
        <v>129</v>
      </c>
      <c r="B226" s="201"/>
      <c r="C226" s="202" t="s">
        <v>116</v>
      </c>
      <c r="D226" s="209" t="s">
        <v>130</v>
      </c>
      <c r="E226" s="209" t="s">
        <v>118</v>
      </c>
      <c r="F226" s="209" t="s">
        <v>119</v>
      </c>
      <c r="G226" s="209" t="s">
        <v>120</v>
      </c>
    </row>
    <row r="227" spans="1:13" customHeight="1" ht="21.75">
      <c r="A227" s="341" t="str">
        <f>'12.Char.Dir'!B4</f>
        <v>Achat de Tenue de luxe Homme</v>
      </c>
      <c r="B227" s="342"/>
      <c r="C227" s="218">
        <f>'12.Char.Dir'!P4</f>
        <v>4320000</v>
      </c>
      <c r="D227" s="218">
        <f>'12.Char.Dir'!Q4</f>
        <v>4752000</v>
      </c>
      <c r="E227" s="218">
        <f>'12.Char.Dir'!R4</f>
        <v>5227200</v>
      </c>
      <c r="F227" s="218">
        <f>'12.Char.Dir'!S4</f>
        <v>0</v>
      </c>
      <c r="G227" s="218">
        <f>'12.Char.Dir'!T4</f>
        <v>0</v>
      </c>
    </row>
    <row r="228" spans="1:13" customHeight="1" ht="37.5">
      <c r="A228" s="341">
        <f>'12.Char.Dir'!B8</f>
        <v/>
      </c>
      <c r="B228" s="342"/>
      <c r="C228" s="218">
        <f>'12.Char.Dir'!P8</f>
        <v>0</v>
      </c>
      <c r="D228" s="218">
        <f>'12.Char.Dir'!Q8</f>
        <v>0</v>
      </c>
      <c r="E228" s="218">
        <f>'12.Char.Dir'!R8</f>
        <v>0</v>
      </c>
      <c r="F228" s="218">
        <f>'12.Char.Dir'!S8</f>
        <v>0</v>
      </c>
      <c r="G228" s="218">
        <f>'12.Char.Dir'!T8</f>
        <v>0</v>
      </c>
    </row>
    <row r="229" spans="1:13" customHeight="1" ht="28.5">
      <c r="A229" s="341">
        <f>'12.Char.Dir'!B9</f>
        <v/>
      </c>
      <c r="B229" s="342"/>
      <c r="C229" s="218">
        <f>'12.Char.Dir'!P9</f>
        <v>0</v>
      </c>
      <c r="D229" s="218">
        <f>'12.Char.Dir'!Q9</f>
        <v>0</v>
      </c>
      <c r="E229" s="218">
        <f>'12.Char.Dir'!R9</f>
        <v>0</v>
      </c>
      <c r="F229" s="218">
        <f>'12.Char.Dir'!S9</f>
        <v>0</v>
      </c>
      <c r="G229" s="218">
        <f>'12.Char.Dir'!T9</f>
        <v>0</v>
      </c>
    </row>
    <row r="230" spans="1:13" customHeight="1" ht="24">
      <c r="A230" s="341">
        <f>'12.Char.Dir'!B10</f>
        <v/>
      </c>
      <c r="B230" s="342"/>
      <c r="C230" s="218">
        <f>'12.Char.Dir'!P10</f>
        <v>0</v>
      </c>
      <c r="D230" s="218">
        <f>'12.Char.Dir'!Q10</f>
        <v>0</v>
      </c>
      <c r="E230" s="218">
        <f>'12.Char.Dir'!R10</f>
        <v>0</v>
      </c>
      <c r="F230" s="218">
        <f>'12.Char.Dir'!S10</f>
        <v>0</v>
      </c>
      <c r="G230" s="218">
        <f>'12.Char.Dir'!T10</f>
        <v>0</v>
      </c>
    </row>
    <row r="231" spans="1:13" customHeight="1" ht="27">
      <c r="A231" s="341">
        <f>'12.Char.Dir'!B11</f>
        <v/>
      </c>
      <c r="B231" s="342"/>
      <c r="C231" s="218">
        <f>'12.Char.Dir'!P11</f>
        <v>0</v>
      </c>
      <c r="D231" s="218">
        <f>'12.Char.Dir'!Q11</f>
        <v>0</v>
      </c>
      <c r="E231" s="218">
        <f>'12.Char.Dir'!R11</f>
        <v>0</v>
      </c>
      <c r="F231" s="218">
        <f>'12.Char.Dir'!S11</f>
        <v>0</v>
      </c>
      <c r="G231" s="218">
        <f>'12.Char.Dir'!T11</f>
        <v>0</v>
      </c>
    </row>
    <row r="232" spans="1:13" customHeight="1" ht="15.75">
      <c r="A232" s="341">
        <f>'12.Char.Dir'!B12</f>
        <v/>
      </c>
      <c r="B232" s="342"/>
      <c r="C232" s="218">
        <f>'12.Char.Dir'!P12</f>
        <v>0</v>
      </c>
      <c r="D232" s="218">
        <f>'12.Char.Dir'!Q12</f>
        <v>0</v>
      </c>
      <c r="E232" s="218">
        <f>'12.Char.Dir'!R12</f>
        <v>0</v>
      </c>
      <c r="F232" s="218">
        <f>'12.Char.Dir'!S12</f>
        <v>0</v>
      </c>
      <c r="G232" s="218">
        <f>'12.Char.Dir'!T12</f>
        <v>0</v>
      </c>
    </row>
    <row r="233" spans="1:13" customHeight="1" ht="15">
      <c r="A233" s="341" t="str">
        <f>'12.Char.Dir'!B13</f>
        <v>Logistique Tenue de luxe Homme</v>
      </c>
      <c r="B233" s="342"/>
      <c r="C233" s="218">
        <f>'12.Char.Dir'!P13</f>
        <v>144000</v>
      </c>
      <c r="D233" s="218">
        <f>'12.Char.Dir'!Q13</f>
        <v>158400</v>
      </c>
      <c r="E233" s="218">
        <f>'12.Char.Dir'!R13</f>
        <v>174240</v>
      </c>
      <c r="F233" s="218">
        <f>'12.Char.Dir'!S13</f>
        <v>0</v>
      </c>
      <c r="G233" s="218">
        <f>'12.Char.Dir'!T13</f>
        <v>0</v>
      </c>
    </row>
    <row r="234" spans="1:13" customHeight="1" ht="15">
      <c r="A234" s="341">
        <f>'12.Char.Dir'!B25</f>
        <v/>
      </c>
      <c r="B234" s="342"/>
      <c r="C234" s="218">
        <f>'12.Char.Dir'!P25</f>
        <v>0</v>
      </c>
      <c r="D234" s="218">
        <f>'12.Char.Dir'!Q25</f>
        <v>0</v>
      </c>
      <c r="E234" s="218">
        <f>'12.Char.Dir'!R25</f>
        <v>0</v>
      </c>
      <c r="F234" s="218">
        <f>'12.Char.Dir'!S25</f>
        <v>0</v>
      </c>
      <c r="G234" s="218">
        <f>'12.Char.Dir'!T25</f>
        <v>0</v>
      </c>
    </row>
    <row r="235" spans="1:13" customHeight="1" ht="15">
      <c r="A235" s="341" t="str">
        <f>'12.Char.Dir'!B26</f>
        <v>Salaire personnel</v>
      </c>
      <c r="B235" s="342"/>
      <c r="C235" s="218">
        <f>'12.Char.Dir'!P26</f>
        <v>7413120</v>
      </c>
      <c r="D235" s="218">
        <f>'12.Char.Dir'!Q26</f>
        <v>8154432</v>
      </c>
      <c r="E235" s="218">
        <f>'12.Char.Dir'!R26</f>
        <v>8969875.2</v>
      </c>
      <c r="F235" s="218">
        <f>'12.Char.Dir'!S26</f>
        <v>0</v>
      </c>
      <c r="G235" s="218">
        <f>'12.Char.Dir'!T26</f>
        <v>0</v>
      </c>
    </row>
    <row r="236" spans="1:13" customHeight="1" ht="15">
      <c r="A236" s="341" t="str">
        <f>'12.Char.Dir'!B27</f>
        <v>Timbre</v>
      </c>
      <c r="B236" s="342"/>
      <c r="C236" s="218">
        <f>'12.Char.Dir'!P27</f>
        <v>161740.8</v>
      </c>
      <c r="D236" s="218">
        <f>'12.Char.Dir'!Q27</f>
        <v>177914.88</v>
      </c>
      <c r="E236" s="218">
        <f>'12.Char.Dir'!R27</f>
        <v>195706.368</v>
      </c>
      <c r="F236" s="218">
        <f>'12.Char.Dir'!S27</f>
        <v>0</v>
      </c>
      <c r="G236" s="218">
        <f>'12.Char.Dir'!T27</f>
        <v>0</v>
      </c>
    </row>
    <row r="237" spans="1:13" customHeight="1" ht="15">
      <c r="A237" s="341" t="str">
        <f>'12.Char.Dir'!B28</f>
        <v>BIC</v>
      </c>
      <c r="B237" s="342"/>
      <c r="C237" s="218">
        <f>'12.Char.Dir'!P28</f>
        <v>1034467.2</v>
      </c>
      <c r="D237" s="218">
        <f>'12.Char.Dir'!Q28</f>
        <v>1137913.92</v>
      </c>
      <c r="E237" s="218">
        <f>'12.Char.Dir'!R28</f>
        <v>1251705.312</v>
      </c>
      <c r="F237" s="218">
        <f>'12.Char.Dir'!S28</f>
        <v>0</v>
      </c>
      <c r="G237" s="218">
        <f>'12.Char.Dir'!T28</f>
        <v>0</v>
      </c>
    </row>
    <row r="238" spans="1:13" customHeight="1" ht="15">
      <c r="A238" s="341" t="str">
        <f>'12.Char.Dir'!B29</f>
        <v>Amortissement équipement.</v>
      </c>
      <c r="B238" s="342"/>
      <c r="C238" s="218">
        <f>'12.Char.Dir'!P29</f>
        <v>1182729.6</v>
      </c>
      <c r="D238" s="218">
        <f>'12.Char.Dir'!Q29</f>
        <v>1301002.56</v>
      </c>
      <c r="E238" s="218">
        <f>'12.Char.Dir'!R29</f>
        <v>1431102.816</v>
      </c>
      <c r="F238" s="218">
        <f>'12.Char.Dir'!S29</f>
        <v>0</v>
      </c>
      <c r="G238" s="218">
        <f>'12.Char.Dir'!T29</f>
        <v>0</v>
      </c>
    </row>
    <row r="239" spans="1:13" customHeight="1" ht="15">
      <c r="A239" s="341" t="str">
        <f>'14.Char.Ind'!B4</f>
        <v>Sponsoring page réseaux sociaux</v>
      </c>
      <c r="B239" s="341"/>
      <c r="C239" s="218">
        <f>'14.Char.Ind'!P4</f>
        <v>1900000</v>
      </c>
      <c r="D239" s="218">
        <f>'14.Char.Ind'!Q4</f>
        <v>1900000</v>
      </c>
      <c r="E239" s="218">
        <f>'14.Char.Ind'!R4</f>
        <v>1900000</v>
      </c>
      <c r="F239" s="218">
        <f>'14.Char.Ind'!S4</f>
        <v>0</v>
      </c>
      <c r="G239" s="218">
        <f>'14.Char.Ind'!T4</f>
        <v>0</v>
      </c>
    </row>
    <row r="240" spans="1:13" customHeight="1" ht="15">
      <c r="A240" s="341" t="str">
        <f>'14.Char.Ind'!B5</f>
        <v>Frais administration</v>
      </c>
      <c r="B240" s="341"/>
      <c r="C240" s="218">
        <f>'14.Char.Ind'!P5</f>
        <v>300000</v>
      </c>
      <c r="D240" s="218">
        <f>'14.Char.Ind'!Q5</f>
        <v>300000</v>
      </c>
      <c r="E240" s="218">
        <f>'14.Char.Ind'!R5</f>
        <v>300000</v>
      </c>
      <c r="F240" s="218">
        <f>'14.Char.Ind'!S5</f>
        <v>0</v>
      </c>
      <c r="G240" s="218">
        <f>'14.Char.Ind'!T5</f>
        <v>0</v>
      </c>
    </row>
    <row r="241" spans="1:13" customHeight="1" ht="15">
      <c r="A241" s="341" t="str">
        <f>'14.Char.Ind'!B6</f>
        <v>Eau</v>
      </c>
      <c r="B241" s="341"/>
      <c r="C241" s="218">
        <f>'14.Char.Ind'!P6</f>
        <v>990000</v>
      </c>
      <c r="D241" s="218">
        <f>'14.Char.Ind'!Q6</f>
        <v>990000</v>
      </c>
      <c r="E241" s="218">
        <f>'14.Char.Ind'!R6</f>
        <v>990000</v>
      </c>
      <c r="F241" s="218">
        <f>'14.Char.Ind'!S6</f>
        <v>0</v>
      </c>
      <c r="G241" s="218">
        <f>'14.Char.Ind'!T6</f>
        <v>0</v>
      </c>
    </row>
    <row r="242" spans="1:13" customHeight="1" ht="15">
      <c r="A242" s="341" t="str">
        <f>'14.Char.Ind'!B7</f>
        <v>Carburant</v>
      </c>
      <c r="B242" s="341"/>
      <c r="C242" s="218">
        <f>'14.Char.Ind'!P7</f>
        <v>600000</v>
      </c>
      <c r="D242" s="218">
        <f>'14.Char.Ind'!Q7</f>
        <v>600000</v>
      </c>
      <c r="E242" s="218">
        <f>'14.Char.Ind'!R7</f>
        <v>600000</v>
      </c>
      <c r="F242" s="218">
        <f>'14.Char.Ind'!S7</f>
        <v>0</v>
      </c>
      <c r="G242" s="218">
        <f>'14.Char.Ind'!T7</f>
        <v>0</v>
      </c>
    </row>
    <row r="243" spans="1:13" customHeight="1" ht="15">
      <c r="A243" s="341" t="str">
        <f>'14.Char.Ind'!B8</f>
        <v>Telephone / Internet</v>
      </c>
      <c r="B243" s="341"/>
      <c r="C243" s="218">
        <f>'14.Char.Ind'!P8</f>
        <v>600000</v>
      </c>
      <c r="D243" s="218">
        <f>'14.Char.Ind'!Q8</f>
        <v>600000</v>
      </c>
      <c r="E243" s="218">
        <f>'14.Char.Ind'!R8</f>
        <v>600000</v>
      </c>
      <c r="F243" s="218">
        <f>'14.Char.Ind'!S8</f>
        <v>0</v>
      </c>
      <c r="G243" s="218">
        <f>'14.Char.Ind'!T8</f>
        <v>0</v>
      </c>
    </row>
    <row r="244" spans="1:13" customHeight="1" ht="15">
      <c r="A244" s="341">
        <f>'14.Char.Ind'!B9</f>
        <v/>
      </c>
      <c r="B244" s="341"/>
      <c r="C244" s="218">
        <f>'14.Char.Ind'!P9</f>
        <v>0</v>
      </c>
      <c r="D244" s="218">
        <f>'14.Char.Ind'!Q9</f>
        <v>0</v>
      </c>
      <c r="E244" s="218">
        <f>'14.Char.Ind'!R9</f>
        <v>0</v>
      </c>
      <c r="F244" s="218">
        <f>'14.Char.Ind'!S9</f>
        <v>0</v>
      </c>
      <c r="G244" s="218">
        <f>'14.Char.Ind'!T9</f>
        <v>0</v>
      </c>
    </row>
    <row r="245" spans="1:13" customHeight="1" ht="15">
      <c r="A245" s="341" t="str">
        <f>'14.Char.Ind'!B10</f>
        <v>Loyer</v>
      </c>
      <c r="B245" s="341"/>
      <c r="C245" s="218">
        <f>'14.Char.Ind'!P10</f>
        <v>3000000</v>
      </c>
      <c r="D245" s="218">
        <f>'14.Char.Ind'!Q10</f>
        <v>3000000</v>
      </c>
      <c r="E245" s="218">
        <f>'14.Char.Ind'!R10</f>
        <v>3000000</v>
      </c>
      <c r="F245" s="218">
        <f>'14.Char.Ind'!S10</f>
        <v>0</v>
      </c>
      <c r="G245" s="218">
        <f>'14.Char.Ind'!T10</f>
        <v>0</v>
      </c>
    </row>
    <row r="246" spans="1:13" customHeight="1" ht="15">
      <c r="A246" s="341" t="str">
        <f>'14.Char.Ind'!B11</f>
        <v>Assurance voiture</v>
      </c>
      <c r="B246" s="341"/>
      <c r="C246" s="218">
        <f>'14.Char.Ind'!P11</f>
        <v>144000</v>
      </c>
      <c r="D246" s="218">
        <f>'14.Char.Ind'!Q11</f>
        <v>144000</v>
      </c>
      <c r="E246" s="218">
        <f>'14.Char.Ind'!R11</f>
        <v>144000</v>
      </c>
      <c r="F246" s="218">
        <f>'14.Char.Ind'!S11</f>
        <v>0</v>
      </c>
      <c r="G246" s="218">
        <f>'14.Char.Ind'!T11</f>
        <v>0</v>
      </c>
    </row>
    <row r="247" spans="1:13" customHeight="1" ht="15">
      <c r="A247" s="341" t="str">
        <f>'14.Char.Ind'!B12</f>
        <v>Frais Infogérance</v>
      </c>
      <c r="B247" s="341"/>
      <c r="C247" s="218">
        <f>'14.Char.Ind'!P12</f>
        <v>380000</v>
      </c>
      <c r="D247" s="218">
        <f>'14.Char.Ind'!Q12</f>
        <v>380000</v>
      </c>
      <c r="E247" s="218">
        <f>'14.Char.Ind'!R12</f>
        <v>380000</v>
      </c>
      <c r="F247" s="218">
        <f>'14.Char.Ind'!S12</f>
        <v>0</v>
      </c>
      <c r="G247" s="218">
        <f>'14.Char.Ind'!T12</f>
        <v>0</v>
      </c>
    </row>
    <row r="248" spans="1:13" customHeight="1" ht="15">
      <c r="A248" s="341">
        <f>'14.Char.Ind'!B13</f>
        <v/>
      </c>
      <c r="B248" s="341"/>
      <c r="C248" s="218">
        <f>'14.Char.Ind'!P13</f>
        <v>0</v>
      </c>
      <c r="D248" s="218">
        <f>'14.Char.Ind'!Q13</f>
        <v>0</v>
      </c>
      <c r="E248" s="218">
        <f>'14.Char.Ind'!R13</f>
        <v>0</v>
      </c>
      <c r="F248" s="218">
        <f>'14.Char.Ind'!S13</f>
        <v>0</v>
      </c>
      <c r="G248" s="218">
        <f>'14.Char.Ind'!T13</f>
        <v>0</v>
      </c>
    </row>
    <row r="249" spans="1:13" customHeight="1" ht="15">
      <c r="A249" s="341">
        <f>'14.Char.Ind'!B14</f>
        <v/>
      </c>
      <c r="B249" s="341"/>
      <c r="C249" s="218">
        <f>'14.Char.Ind'!P14</f>
        <v>0</v>
      </c>
      <c r="D249" s="218">
        <f>'14.Char.Ind'!Q14</f>
        <v>0</v>
      </c>
      <c r="E249" s="218">
        <f>'14.Char.Ind'!R14</f>
        <v>0</v>
      </c>
      <c r="F249" s="218">
        <f>'14.Char.Ind'!S14</f>
        <v>0</v>
      </c>
      <c r="G249" s="218">
        <f>'14.Char.Ind'!T14</f>
        <v>0</v>
      </c>
    </row>
    <row r="250" spans="1:13" customHeight="1" ht="15">
      <c r="A250" s="339" t="str">
        <f>[1]CmptRes!Q11</f>
        <v>Total</v>
      </c>
      <c r="B250" s="340"/>
      <c r="C250" s="203">
        <f>[1]CmptRes!R11</f>
        <v>233899371</v>
      </c>
      <c r="D250" s="203">
        <f>[1]CmptRes!S11</f>
        <v>235399371</v>
      </c>
      <c r="E250" s="203">
        <f>[1]CmptRes!T11</f>
        <v>258667308.1</v>
      </c>
      <c r="F250" s="203">
        <f>[1]CmptRes!U11</f>
        <v>284223038.91</v>
      </c>
      <c r="G250" s="203">
        <f>[1]CmptRes!V11</f>
        <v>312331092.801</v>
      </c>
    </row>
    <row r="251" spans="1:13">
      <c r="A251" s="272"/>
      <c r="B251" s="273"/>
      <c r="C251" s="273"/>
      <c r="D251" s="273"/>
      <c r="E251" s="273"/>
      <c r="F251" s="273"/>
      <c r="G251" s="273"/>
    </row>
    <row r="252" spans="1:13" customHeight="1" ht="16">
      <c r="A252" s="333" t="s">
        <v>131</v>
      </c>
      <c r="B252" s="333"/>
      <c r="C252" s="333"/>
      <c r="D252" s="333"/>
      <c r="E252" s="333"/>
      <c r="F252" s="333"/>
      <c r="G252" s="333"/>
    </row>
    <row r="253" spans="1:13" customHeight="1" ht="15">
      <c r="A253" s="272"/>
      <c r="B253" s="273"/>
      <c r="C253" s="273"/>
      <c r="D253" s="273"/>
      <c r="E253" s="273"/>
      <c r="F253" s="273"/>
      <c r="G253" s="273"/>
    </row>
    <row r="254" spans="1:13" customHeight="1" ht="15">
      <c r="A254" s="204" t="s">
        <v>115</v>
      </c>
      <c r="B254" s="209" t="s">
        <v>116</v>
      </c>
      <c r="C254" s="209" t="s">
        <v>117</v>
      </c>
      <c r="D254" s="209" t="s">
        <v>118</v>
      </c>
      <c r="E254" s="209" t="s">
        <v>119</v>
      </c>
      <c r="F254" s="209" t="s">
        <v>120</v>
      </c>
      <c r="G254" s="273"/>
    </row>
    <row r="255" spans="1:13" customHeight="1" ht="15">
      <c r="A255" s="194" t="s">
        <v>132</v>
      </c>
      <c r="B255" s="194">
        <f>'16.CR'!C40</f>
        <v>2343354.9213467</v>
      </c>
      <c r="C255" s="194">
        <f>'16.CR'!D40</f>
        <v>1429448.8533907</v>
      </c>
      <c r="D255" s="194">
        <f>'16.CR'!E40</f>
        <v>745502.03358653</v>
      </c>
      <c r="E255" s="194">
        <f>'16.CR'!F40</f>
        <v>0</v>
      </c>
      <c r="F255" s="194">
        <f>'16.CR'!G40</f>
        <v>0</v>
      </c>
      <c r="G255" s="273"/>
    </row>
    <row r="256" spans="1:13" customHeight="1" ht="15">
      <c r="A256" s="196" t="s">
        <v>66</v>
      </c>
      <c r="B256" s="196">
        <v>4330332</v>
      </c>
      <c r="C256" s="196">
        <v>3606766.1866816</v>
      </c>
      <c r="D256" s="196">
        <v>2818079.4501645</v>
      </c>
      <c r="E256" s="196">
        <v>1958410.9073609</v>
      </c>
      <c r="F256" s="196">
        <v>1021372.195705</v>
      </c>
      <c r="G256" s="273"/>
    </row>
    <row r="257" spans="1:13" customHeight="1" ht="15">
      <c r="A257" s="272"/>
      <c r="B257" s="273"/>
      <c r="C257" s="273"/>
      <c r="D257" s="273"/>
      <c r="E257" s="273"/>
      <c r="F257" s="273"/>
      <c r="G257" s="273"/>
    </row>
    <row r="258" spans="1:13" customHeight="1" ht="15">
      <c r="A258" s="204" t="s">
        <v>115</v>
      </c>
      <c r="B258" s="192" t="s">
        <v>116</v>
      </c>
      <c r="C258" s="192" t="s">
        <v>117</v>
      </c>
      <c r="D258" s="192" t="s">
        <v>118</v>
      </c>
      <c r="E258" s="192" t="s">
        <v>119</v>
      </c>
      <c r="F258" s="192" t="s">
        <v>120</v>
      </c>
      <c r="G258" s="273"/>
    </row>
    <row r="259" spans="1:13" customHeight="1" ht="15">
      <c r="A259" s="205" t="s">
        <v>133</v>
      </c>
      <c r="B259" s="206">
        <f>'12.Char.Dir'!P27+'12.Char.Dir'!P28</f>
        <v>1196208</v>
      </c>
      <c r="C259" s="206">
        <f>'12.Char.Dir'!Q27+'12.Char.Dir'!Q28</f>
        <v>1315828.8</v>
      </c>
      <c r="D259" s="206">
        <f>'12.Char.Dir'!R27+'12.Char.Dir'!R28</f>
        <v>1447411.68</v>
      </c>
      <c r="E259" s="206">
        <f>'12.Char.Dir'!S27+'12.Char.Dir'!S28</f>
        <v>0</v>
      </c>
      <c r="F259" s="206">
        <f>'12.Char.Dir'!T27+'12.Char.Dir'!T28</f>
        <v>0</v>
      </c>
      <c r="G259" s="273"/>
    </row>
    <row r="260" spans="1:13" customHeight="1" ht="15">
      <c r="A260" s="207" t="s">
        <v>66</v>
      </c>
      <c r="B260" s="208">
        <f>[1]CmptRes!K47</f>
        <v>0</v>
      </c>
      <c r="C260" s="208">
        <f>[1]CmptRes!L47</f>
        <v>0</v>
      </c>
      <c r="D260" s="208">
        <f>[1]CmptRes!M47</f>
        <v>0</v>
      </c>
      <c r="E260" s="208">
        <f>[1]CmptRes!N47</f>
        <v>0</v>
      </c>
      <c r="F260" s="208">
        <f>[1]CmptRes!O47</f>
        <v>0</v>
      </c>
      <c r="G260" s="273"/>
    </row>
    <row r="261" spans="1:13">
      <c r="A261" s="272"/>
      <c r="B261" s="273"/>
      <c r="C261" s="273"/>
      <c r="D261" s="273"/>
      <c r="E261" s="273"/>
      <c r="F261" s="273"/>
      <c r="G261" s="273"/>
    </row>
    <row r="262" spans="1:13" customHeight="1" ht="17">
      <c r="A262" s="333" t="s">
        <v>134</v>
      </c>
      <c r="B262" s="333"/>
      <c r="C262" s="333"/>
      <c r="D262" s="333"/>
      <c r="E262" s="333"/>
      <c r="F262" s="333"/>
      <c r="G262" s="333"/>
    </row>
    <row r="263" spans="1:13" customHeight="1" ht="15.75">
      <c r="A263" s="334" t="s">
        <v>97</v>
      </c>
      <c r="B263" s="200" t="s">
        <v>135</v>
      </c>
      <c r="C263" s="201"/>
      <c r="D263" s="201"/>
      <c r="E263" s="201"/>
      <c r="F263" s="244"/>
    </row>
    <row r="264" spans="1:13" customHeight="1" ht="15">
      <c r="A264" s="335"/>
      <c r="B264" s="210" t="s">
        <v>116</v>
      </c>
      <c r="C264" s="210" t="s">
        <v>130</v>
      </c>
      <c r="D264" s="210" t="s">
        <v>118</v>
      </c>
      <c r="E264" s="210" t="s">
        <v>119</v>
      </c>
      <c r="F264" s="210" t="s">
        <v>120</v>
      </c>
    </row>
    <row r="265" spans="1:13" customHeight="1" ht="15">
      <c r="A265" s="245" t="str">
        <f>'12.Char.Dir'!B29</f>
        <v>Amortissement équipement.</v>
      </c>
      <c r="B265" s="194">
        <f>'12.Char.Dir'!P29</f>
        <v>1182729.6</v>
      </c>
      <c r="C265" s="194">
        <f>'12.Char.Dir'!Q29</f>
        <v>1301002.56</v>
      </c>
      <c r="D265" s="194">
        <f>'12.Char.Dir'!R29</f>
        <v>1431102.816</v>
      </c>
      <c r="E265" s="194">
        <f>'12.Char.Dir'!S29</f>
        <v>0</v>
      </c>
      <c r="F265" s="194">
        <f>'12.Char.Dir'!T29</f>
        <v>0</v>
      </c>
    </row>
    <row r="266" spans="1:13" customHeight="1" ht="15">
      <c r="A266" s="193">
        <f>'14.Char.Ind'!B14</f>
        <v/>
      </c>
      <c r="B266" s="194">
        <f>'14.Char.Ind'!P14</f>
        <v>0</v>
      </c>
      <c r="C266" s="194">
        <f>'14.Char.Ind'!Q14</f>
        <v>0</v>
      </c>
      <c r="D266" s="194">
        <f>'14.Char.Ind'!R14</f>
        <v>0</v>
      </c>
      <c r="E266" s="194">
        <f>'14.Char.Ind'!S14</f>
        <v>0</v>
      </c>
      <c r="F266" s="194">
        <f>'14.Char.Ind'!T14</f>
        <v>0</v>
      </c>
    </row>
    <row r="267" spans="1:13" customHeight="1" ht="15">
      <c r="A267" s="195" t="s">
        <v>66</v>
      </c>
      <c r="B267" s="196"/>
      <c r="C267" s="196"/>
      <c r="D267" s="196"/>
      <c r="E267" s="196"/>
      <c r="F267" s="196"/>
    </row>
    <row r="268" spans="1:13">
      <c r="A268" s="272"/>
      <c r="B268" s="273"/>
      <c r="C268" s="273"/>
      <c r="D268" s="273"/>
      <c r="E268" s="273"/>
      <c r="F268" s="273"/>
      <c r="G268" s="273"/>
    </row>
    <row r="269" spans="1:13" customHeight="1" ht="16">
      <c r="A269" s="333" t="s">
        <v>136</v>
      </c>
      <c r="B269" s="333"/>
      <c r="C269" s="333"/>
      <c r="D269" s="333"/>
      <c r="E269" s="333"/>
      <c r="F269" s="333"/>
      <c r="G269" s="333"/>
    </row>
    <row r="270" spans="1:13">
      <c r="A270" s="278" t="s">
        <v>137</v>
      </c>
      <c r="B270" s="278"/>
      <c r="C270" s="278"/>
      <c r="D270" s="279">
        <f>B116</f>
        <v>22854700</v>
      </c>
      <c r="E270" s="278" t="s">
        <v>138</v>
      </c>
      <c r="F270" s="278"/>
      <c r="G270" s="278"/>
    </row>
    <row r="271" spans="1:13">
      <c r="A271" s="278" t="s">
        <v>139</v>
      </c>
      <c r="B271" s="278"/>
      <c r="C271" s="278"/>
      <c r="D271" s="280">
        <f>B118</f>
        <v>0.09</v>
      </c>
      <c r="E271" s="278"/>
      <c r="F271" s="278"/>
      <c r="G271" s="278"/>
    </row>
    <row r="272" spans="1:13" customHeight="1" ht="15">
      <c r="A272" s="278" t="s">
        <v>140</v>
      </c>
      <c r="B272" s="278"/>
      <c r="C272" s="278"/>
      <c r="D272" s="281">
        <f>B117</f>
        <v>3</v>
      </c>
      <c r="E272" s="278"/>
      <c r="F272" s="278"/>
      <c r="G272" s="278"/>
    </row>
    <row r="273" spans="1:13" customHeight="1" ht="15">
      <c r="A273" s="211" t="s">
        <v>115</v>
      </c>
      <c r="B273" s="212" t="s">
        <v>141</v>
      </c>
      <c r="C273" s="212" t="s">
        <v>142</v>
      </c>
      <c r="D273" s="212" t="s">
        <v>143</v>
      </c>
      <c r="E273" s="212" t="s">
        <v>75</v>
      </c>
      <c r="F273" s="273"/>
      <c r="G273" s="273"/>
    </row>
    <row r="274" spans="1:13" customHeight="1" ht="15">
      <c r="A274" s="213" t="s">
        <v>144</v>
      </c>
      <c r="B274" s="214">
        <f>SUMIF('3.Cal.Amo.LT'!$A:$A,BP_Pres!$A274,'3.Cal.Amo.LT'!$B:$B)+SUMIF('4.Cal.Amo.AI'!$A:$A,BP_Pres!$A274,'4.Cal.Amo.AI'!$B:$B)</f>
        <v>22854700</v>
      </c>
      <c r="C274" s="214">
        <f>SUMIF('3.Cal.Amo.LT'!$A:$A,BP_Pres!$A274,'3.Cal.Amo.LT'!$C:$C)+SUMIF('4.Cal.Amo.AI'!$A:$A,BP_Pres!$A274,'4.Cal.Amo.AI'!$C:$C)</f>
        <v>2056923</v>
      </c>
      <c r="D274" s="214">
        <f>SUMIF('3.Cal.Amo.LT'!$A:$A,BP_Pres!$A274,'3.Cal.Amo.LT'!$E:$E)+SUMIF('4.Cal.Amo.AI'!$A:$A,BP_Pres!$A274,'4.Cal.Amo.AI'!$E:$E)</f>
        <v>6971934.9623257</v>
      </c>
      <c r="E274" s="214">
        <f>SUMIF('3.Cal.Amo.LT'!$A:$A,BP_Pres!$A274,'3.Cal.Amo.LT'!$F:$F)+SUMIF('4.Cal.Amo.AI'!$A:$A,BP_Pres!$A274,'4.Cal.Amo.AI'!$F:$F)</f>
        <v>9028857.9623257</v>
      </c>
      <c r="F274" s="273"/>
      <c r="G274" s="273"/>
    </row>
    <row r="275" spans="1:13" customHeight="1" ht="15">
      <c r="A275" s="215" t="s">
        <v>88</v>
      </c>
      <c r="B275" s="214">
        <f>SUMIF('3.Cal.Amo.LT'!$A:$A,BP_Pres!$A275,'3.Cal.Amo.LT'!$B:$B)+SUMIF('4.Cal.Amo.AI'!$A:$A,BP_Pres!$A275,'4.Cal.Amo.AI'!$B:$B)</f>
        <v>15882765.037674</v>
      </c>
      <c r="C275" s="214">
        <f>SUMIF('3.Cal.Amo.LT'!$A:$A,BP_Pres!$A275,'3.Cal.Amo.LT'!$C:$C)+SUMIF('4.Cal.Amo.AI'!$A:$A,BP_Pres!$A275,'4.Cal.Amo.AI'!$C:$C)</f>
        <v>1429448.8533907</v>
      </c>
      <c r="D275" s="214">
        <f>SUMIF('3.Cal.Amo.LT'!$A:$A,BP_Pres!$A275,'3.Cal.Amo.LT'!$E:$E)+SUMIF('4.Cal.Amo.AI'!$A:$A,BP_Pres!$A275,'4.Cal.Amo.AI'!$E:$E)</f>
        <v>7599409.108935</v>
      </c>
      <c r="E275" s="214">
        <f>SUMIF('3.Cal.Amo.LT'!$A:$A,BP_Pres!$A275,'3.Cal.Amo.LT'!$F:$F)+SUMIF('4.Cal.Amo.AI'!$A:$A,BP_Pres!$A275,'4.Cal.Amo.AI'!$F:$F)</f>
        <v>9028857.9623257</v>
      </c>
      <c r="F275" s="273"/>
      <c r="G275" s="273"/>
    </row>
    <row r="276" spans="1:13" customHeight="1" ht="15">
      <c r="A276" s="215" t="s">
        <v>89</v>
      </c>
      <c r="B276" s="214">
        <f>SUMIF('3.Cal.Amo.LT'!$A:$A,BP_Pres!$A276,'3.Cal.Amo.LT'!$B:$B)+SUMIF('4.Cal.Amo.AI'!$A:$A,BP_Pres!$A276,'4.Cal.Amo.AI'!$B:$B)</f>
        <v>8283355.9287392</v>
      </c>
      <c r="C276" s="214">
        <f>SUMIF('3.Cal.Amo.LT'!$A:$A,BP_Pres!$A276,'3.Cal.Amo.LT'!$C:$C)+SUMIF('4.Cal.Amo.AI'!$A:$A,BP_Pres!$A276,'4.Cal.Amo.AI'!$C:$C)</f>
        <v>745502.03358653</v>
      </c>
      <c r="D276" s="214">
        <f>SUMIF('3.Cal.Amo.LT'!$A:$A,BP_Pres!$A276,'3.Cal.Amo.LT'!$E:$E)+SUMIF('4.Cal.Amo.AI'!$A:$A,BP_Pres!$A276,'4.Cal.Amo.AI'!$E:$E)</f>
        <v>8283355.9287392</v>
      </c>
      <c r="E276" s="214">
        <f>SUMIF('3.Cal.Amo.LT'!$A:$A,BP_Pres!$A276,'3.Cal.Amo.LT'!$F:$F)+SUMIF('4.Cal.Amo.AI'!$A:$A,BP_Pres!$A276,'4.Cal.Amo.AI'!$F:$F)</f>
        <v>9028857.9623257</v>
      </c>
      <c r="F276" s="273"/>
      <c r="G276" s="273"/>
    </row>
    <row r="277" spans="1:13" customHeight="1" ht="15">
      <c r="A277" s="215" t="s">
        <v>145</v>
      </c>
      <c r="B277" s="214">
        <f>SUMIF('3.Cal.Amo.LT'!$A:$A,BP_Pres!$A277,'3.Cal.Amo.LT'!$B:$B)+SUMIF('4.Cal.Amo.AI'!$A:$A,BP_Pres!$A277,'4.Cal.Amo.AI'!$B:$B)</f>
        <v>2.6077032089233E-8</v>
      </c>
      <c r="C277" s="214">
        <f>SUMIF('3.Cal.Amo.LT'!$A:$A,BP_Pres!$A277,'3.Cal.Amo.LT'!$C:$C)+SUMIF('4.Cal.Amo.AI'!$A:$A,BP_Pres!$A277,'4.Cal.Amo.AI'!$C:$C)</f>
        <v>2.346932888031E-9</v>
      </c>
      <c r="D277" s="214">
        <f>SUMIF('3.Cal.Amo.LT'!$A:$A,BP_Pres!$A277,'3.Cal.Amo.LT'!$E:$E)+SUMIF('4.Cal.Amo.AI'!$A:$A,BP_Pres!$A277,'4.Cal.Amo.AI'!$E:$E)</f>
        <v>-2.346932888031E-9</v>
      </c>
      <c r="E277" s="214">
        <f>SUMIF('3.Cal.Amo.LT'!$A:$A,BP_Pres!$A277,'3.Cal.Amo.LT'!$F:$F)+SUMIF('4.Cal.Amo.AI'!$A:$A,BP_Pres!$A277,'4.Cal.Amo.AI'!$F:$F)</f>
        <v>0</v>
      </c>
      <c r="F277" s="273"/>
      <c r="G277" s="273"/>
    </row>
    <row r="278" spans="1:13" customHeight="1" ht="15">
      <c r="A278" s="215" t="s">
        <v>146</v>
      </c>
      <c r="B278" s="214">
        <f>SUMIF('3.Cal.Amo.LT'!$A:$A,BP_Pres!$A278,'3.Cal.Amo.LT'!$B:$B)+SUMIF('4.Cal.Amo.AI'!$A:$A,BP_Pres!$A278,'4.Cal.Amo.AI'!$B:$B)</f>
        <v>2.8423964977264E-8</v>
      </c>
      <c r="C278" s="214">
        <f>SUMIF('3.Cal.Amo.LT'!$A:$A,BP_Pres!$A278,'3.Cal.Amo.LT'!$C:$C)+SUMIF('4.Cal.Amo.AI'!$A:$A,BP_Pres!$A278,'4.Cal.Amo.AI'!$C:$C)</f>
        <v>2.5581568479538E-9</v>
      </c>
      <c r="D278" s="214">
        <f>SUMIF('3.Cal.Amo.LT'!$A:$A,BP_Pres!$A278,'3.Cal.Amo.LT'!$E:$E)+SUMIF('4.Cal.Amo.AI'!$A:$A,BP_Pres!$A278,'4.Cal.Amo.AI'!$E:$E)</f>
        <v>-2.5581568479538E-9</v>
      </c>
      <c r="E278" s="214">
        <f>SUMIF('3.Cal.Amo.LT'!$A:$A,BP_Pres!$A278,'3.Cal.Amo.LT'!$F:$F)+SUMIF('4.Cal.Amo.AI'!$A:$A,BP_Pres!$A278,'4.Cal.Amo.AI'!$F:$F)</f>
        <v>0</v>
      </c>
      <c r="F278" s="273"/>
      <c r="G278" s="273"/>
    </row>
    <row r="279" spans="1:13">
      <c r="A279" s="216"/>
      <c r="B279" s="217"/>
      <c r="C279" s="217"/>
      <c r="D279" s="217"/>
      <c r="E279" s="217"/>
      <c r="F279" s="273"/>
      <c r="G279" s="273"/>
    </row>
    <row r="280" spans="1:13">
      <c r="A280" s="278" t="s">
        <v>147</v>
      </c>
      <c r="B280" s="278"/>
      <c r="C280" s="278"/>
      <c r="D280" s="279">
        <f>B112</f>
        <v>3698500.8718</v>
      </c>
      <c r="E280" s="278" t="s">
        <v>138</v>
      </c>
      <c r="F280" s="278"/>
      <c r="G280" s="278"/>
    </row>
    <row r="281" spans="1:13">
      <c r="A281" s="278" t="s">
        <v>139</v>
      </c>
      <c r="B281" s="278"/>
      <c r="C281" s="278"/>
      <c r="D281" s="282">
        <f>B114</f>
        <v>0.14</v>
      </c>
      <c r="E281" s="278"/>
      <c r="F281" s="278"/>
      <c r="G281" s="278"/>
    </row>
    <row r="282" spans="1:13" customHeight="1" ht="15">
      <c r="A282" s="278" t="s">
        <v>140</v>
      </c>
      <c r="B282" s="278"/>
      <c r="C282" s="278"/>
      <c r="D282" s="279">
        <f>B113</f>
        <v>12</v>
      </c>
      <c r="E282" s="278"/>
      <c r="F282" s="278"/>
      <c r="G282" s="278"/>
    </row>
    <row r="283" spans="1:13" customHeight="1" ht="15">
      <c r="A283" s="211" t="s">
        <v>148</v>
      </c>
      <c r="B283" s="212" t="s">
        <v>141</v>
      </c>
      <c r="C283" s="212" t="s">
        <v>142</v>
      </c>
      <c r="D283" s="212" t="s">
        <v>143</v>
      </c>
      <c r="E283" s="212" t="s">
        <v>75</v>
      </c>
      <c r="F283" s="273"/>
      <c r="G283" s="273"/>
    </row>
    <row r="284" spans="1:13" customHeight="1" ht="15">
      <c r="A284" s="213">
        <f>'2.Cal.Amo.CT'!A10</f>
        <v>1</v>
      </c>
      <c r="B284" s="213">
        <f>'2.Cal.Amo.CT'!B10</f>
        <v>3698500.8718</v>
      </c>
      <c r="C284" s="213">
        <f>'2.Cal.Amo.CT'!C10</f>
        <v>43149.176837667</v>
      </c>
      <c r="D284" s="213">
        <f>'2.Cal.Amo.CT'!E10</f>
        <v>288928.55592455</v>
      </c>
      <c r="E284" s="213">
        <f>'2.Cal.Amo.CT'!F10</f>
        <v>332077.73276222</v>
      </c>
      <c r="F284" s="273"/>
      <c r="G284" s="273"/>
    </row>
    <row r="285" spans="1:13" customHeight="1" ht="15">
      <c r="A285" s="213">
        <f>'2.Cal.Amo.CT'!A11</f>
        <v>2</v>
      </c>
      <c r="B285" s="213">
        <f>'2.Cal.Amo.CT'!B11</f>
        <v>3409572.3158754</v>
      </c>
      <c r="C285" s="213">
        <f>'2.Cal.Amo.CT'!C11</f>
        <v>39778.343685214</v>
      </c>
      <c r="D285" s="213">
        <f>'2.Cal.Amo.CT'!E11</f>
        <v>292299.38907701</v>
      </c>
      <c r="E285" s="213">
        <f>'2.Cal.Amo.CT'!F11</f>
        <v>332077.73276222</v>
      </c>
      <c r="F285" s="273"/>
      <c r="G285" s="273"/>
    </row>
    <row r="286" spans="1:13" customHeight="1" ht="15">
      <c r="A286" s="213">
        <f>'2.Cal.Amo.CT'!A12</f>
        <v>3</v>
      </c>
      <c r="B286" s="213">
        <f>'2.Cal.Amo.CT'!B12</f>
        <v>3117272.9267984</v>
      </c>
      <c r="C286" s="213">
        <f>'2.Cal.Amo.CT'!C12</f>
        <v>36368.184145982</v>
      </c>
      <c r="D286" s="213">
        <f>'2.Cal.Amo.CT'!E12</f>
        <v>295709.54861624</v>
      </c>
      <c r="E286" s="213">
        <f>'2.Cal.Amo.CT'!F12</f>
        <v>332077.73276222</v>
      </c>
      <c r="F286" s="273"/>
      <c r="G286" s="273"/>
    </row>
    <row r="287" spans="1:13" customHeight="1" ht="15">
      <c r="A287" s="213">
        <f>'2.Cal.Amo.CT'!A13</f>
        <v>4</v>
      </c>
      <c r="B287" s="213">
        <f>'2.Cal.Amo.CT'!B13</f>
        <v>2821563.3781822</v>
      </c>
      <c r="C287" s="213">
        <f>'2.Cal.Amo.CT'!C13</f>
        <v>32918.239412126</v>
      </c>
      <c r="D287" s="213">
        <f>'2.Cal.Amo.CT'!E13</f>
        <v>299159.4933501</v>
      </c>
      <c r="E287" s="213">
        <f>'2.Cal.Amo.CT'!F13</f>
        <v>332077.73276222</v>
      </c>
      <c r="F287" s="273"/>
      <c r="G287" s="273"/>
    </row>
    <row r="288" spans="1:13" customHeight="1" ht="15">
      <c r="A288" s="213">
        <f>'2.Cal.Amo.CT'!A14</f>
        <v>5</v>
      </c>
      <c r="B288" s="213">
        <f>'2.Cal.Amo.CT'!B14</f>
        <v>2522403.8848321</v>
      </c>
      <c r="C288" s="213">
        <f>'2.Cal.Amo.CT'!C14</f>
        <v>29428.045323041</v>
      </c>
      <c r="D288" s="213">
        <f>'2.Cal.Amo.CT'!E14</f>
        <v>302649.68743918</v>
      </c>
      <c r="E288" s="213">
        <f>'2.Cal.Amo.CT'!F14</f>
        <v>332077.73276222</v>
      </c>
      <c r="F288" s="273"/>
      <c r="G288" s="273"/>
    </row>
    <row r="289" spans="1:13" customHeight="1" ht="15">
      <c r="A289" s="213">
        <f>'2.Cal.Amo.CT'!A15</f>
        <v>6</v>
      </c>
      <c r="B289" s="213">
        <f>'2.Cal.Amo.CT'!B15</f>
        <v>2219754.1973929</v>
      </c>
      <c r="C289" s="213">
        <f>'2.Cal.Amo.CT'!C15</f>
        <v>25897.132302917</v>
      </c>
      <c r="D289" s="213">
        <f>'2.Cal.Amo.CT'!E15</f>
        <v>306180.6004593</v>
      </c>
      <c r="E289" s="213">
        <f>'2.Cal.Amo.CT'!F15</f>
        <v>332077.73276222</v>
      </c>
      <c r="F289" s="273"/>
      <c r="G289" s="273"/>
    </row>
    <row r="290" spans="1:13" customHeight="1" ht="15">
      <c r="A290" s="213">
        <f>'2.Cal.Amo.CT'!A16</f>
        <v>7</v>
      </c>
      <c r="B290" s="213">
        <f>'2.Cal.Amo.CT'!B16</f>
        <v>1913573.5969336</v>
      </c>
      <c r="C290" s="213">
        <f>'2.Cal.Amo.CT'!C16</f>
        <v>22325.025297559</v>
      </c>
      <c r="D290" s="213">
        <f>'2.Cal.Amo.CT'!E16</f>
        <v>309752.70746466</v>
      </c>
      <c r="E290" s="213">
        <f>'2.Cal.Amo.CT'!F16</f>
        <v>332077.73276222</v>
      </c>
      <c r="F290" s="273"/>
      <c r="G290" s="273"/>
    </row>
    <row r="291" spans="1:13" customHeight="1" ht="15">
      <c r="A291" s="213">
        <f>'2.Cal.Amo.CT'!A17</f>
        <v>8</v>
      </c>
      <c r="B291" s="213">
        <f>'2.Cal.Amo.CT'!B17</f>
        <v>1603820.889469</v>
      </c>
      <c r="C291" s="213">
        <f>'2.Cal.Amo.CT'!C17</f>
        <v>18711.243710471</v>
      </c>
      <c r="D291" s="213">
        <f>'2.Cal.Amo.CT'!E17</f>
        <v>313366.48905175</v>
      </c>
      <c r="E291" s="213">
        <f>'2.Cal.Amo.CT'!F17</f>
        <v>332077.73276222</v>
      </c>
      <c r="F291" s="273"/>
      <c r="G291" s="273"/>
    </row>
    <row r="292" spans="1:13" customHeight="1" ht="15">
      <c r="A292" s="213">
        <f>'2.Cal.Amo.CT'!A18</f>
        <v>9</v>
      </c>
      <c r="B292" s="213">
        <f>'2.Cal.Amo.CT'!B18</f>
        <v>1290454.4004172</v>
      </c>
      <c r="C292" s="213">
        <f>'2.Cal.Amo.CT'!C18</f>
        <v>15055.301338201</v>
      </c>
      <c r="D292" s="213">
        <f>'2.Cal.Amo.CT'!E18</f>
        <v>317022.43142402</v>
      </c>
      <c r="E292" s="213">
        <f>'2.Cal.Amo.CT'!F18</f>
        <v>332077.73276222</v>
      </c>
      <c r="F292" s="273"/>
      <c r="G292" s="273"/>
    </row>
    <row r="293" spans="1:13" customHeight="1" ht="15">
      <c r="A293" s="213">
        <f>'2.Cal.Amo.CT'!A19</f>
        <v>10</v>
      </c>
      <c r="B293" s="213">
        <f>'2.Cal.Amo.CT'!B19</f>
        <v>973431.96899319</v>
      </c>
      <c r="C293" s="213">
        <f>'2.Cal.Amo.CT'!C19</f>
        <v>11356.706304921</v>
      </c>
      <c r="D293" s="213">
        <f>'2.Cal.Amo.CT'!E19</f>
        <v>320721.0264573</v>
      </c>
      <c r="E293" s="213">
        <f>'2.Cal.Amo.CT'!F19</f>
        <v>332077.73276222</v>
      </c>
      <c r="F293" s="273"/>
      <c r="G293" s="273"/>
    </row>
    <row r="294" spans="1:13" customHeight="1" ht="15">
      <c r="A294" s="213">
        <f>'2.Cal.Amo.CT'!A20</f>
        <v>11</v>
      </c>
      <c r="B294" s="213">
        <f>'2.Cal.Amo.CT'!B20</f>
        <v>652710.94253589</v>
      </c>
      <c r="C294" s="213">
        <f>'2.Cal.Amo.CT'!C20</f>
        <v>7614.960996252</v>
      </c>
      <c r="D294" s="213">
        <f>'2.Cal.Amo.CT'!E20</f>
        <v>324462.77176597</v>
      </c>
      <c r="E294" s="213">
        <f>'2.Cal.Amo.CT'!F20</f>
        <v>332077.73276222</v>
      </c>
      <c r="F294" s="273"/>
      <c r="G294" s="273"/>
    </row>
    <row r="295" spans="1:13" customHeight="1" ht="15">
      <c r="A295" s="213">
        <f>'2.Cal.Amo.CT'!A21</f>
        <v>12</v>
      </c>
      <c r="B295" s="213">
        <f>'2.Cal.Amo.CT'!B21</f>
        <v>328248.17076992</v>
      </c>
      <c r="C295" s="213">
        <f>'2.Cal.Amo.CT'!C21</f>
        <v>3829.5619923157</v>
      </c>
      <c r="D295" s="213">
        <f>'2.Cal.Amo.CT'!E21</f>
        <v>328248.17076991</v>
      </c>
      <c r="E295" s="213">
        <f>'2.Cal.Amo.CT'!F21</f>
        <v>332077.73276222</v>
      </c>
      <c r="F295" s="273"/>
      <c r="G295" s="273"/>
    </row>
    <row r="296" spans="1:13">
      <c r="A296" s="216"/>
      <c r="B296" s="217"/>
      <c r="C296" s="217"/>
      <c r="D296" s="217"/>
      <c r="E296" s="217"/>
      <c r="F296" s="273"/>
      <c r="G296" s="273"/>
    </row>
    <row r="297" spans="1:13" customHeight="1" ht="25.5">
      <c r="A297" s="336" t="s">
        <v>149</v>
      </c>
      <c r="B297" s="336"/>
      <c r="C297" s="336"/>
      <c r="D297" s="336"/>
      <c r="E297" s="336"/>
      <c r="F297" s="336"/>
      <c r="G297" s="336"/>
    </row>
    <row r="298" spans="1:13" customHeight="1" ht="20.25">
      <c r="A298" s="337" t="s">
        <v>150</v>
      </c>
      <c r="B298" s="337"/>
      <c r="C298" s="337"/>
      <c r="D298" s="337"/>
      <c r="E298" s="337"/>
      <c r="F298" s="337"/>
      <c r="G298" s="337"/>
    </row>
    <row r="299" spans="1:13" customHeight="1" ht="18" s="315" customFormat="1">
      <c r="A299" s="315" t="s">
        <v>151</v>
      </c>
      <c r="F299" s="316" t="s">
        <v>152</v>
      </c>
      <c r="G299" s="315" t="s">
        <v>153</v>
      </c>
    </row>
    <row r="300" spans="1:13" customHeight="1" ht="15"/>
    <row r="301" spans="1:13">
      <c r="A301" s="27">
        <f>'16.CR'!A5</f>
        <v/>
      </c>
      <c r="B301" s="27" t="str">
        <f>'16.CR'!B5</f>
        <v>Designation</v>
      </c>
      <c r="C301" s="246" t="str">
        <f>'16.CR'!C5</f>
        <v>N</v>
      </c>
      <c r="D301" s="246" t="str">
        <f>'16.CR'!D5</f>
        <v>N+1</v>
      </c>
      <c r="E301" s="246" t="str">
        <f>'16.CR'!E5</f>
        <v>N+2</v>
      </c>
      <c r="G301" s="27">
        <f>'20.CR IFRS'!A3</f>
        <v/>
      </c>
      <c r="H301" s="27" t="str">
        <f>'20.CR IFRS'!B3</f>
        <v>Designation</v>
      </c>
      <c r="I301" s="246" t="str">
        <f>'20.CR IFRS'!C3</f>
        <v>N</v>
      </c>
      <c r="J301" s="246" t="str">
        <f>'20.CR IFRS'!D3</f>
        <v>N+1</v>
      </c>
      <c r="K301" s="246" t="str">
        <f>'20.CR IFRS'!E3</f>
        <v>N+2</v>
      </c>
    </row>
    <row r="302" spans="1:13" customHeight="1" ht="15">
      <c r="A302" s="27" t="str">
        <f>'16.CR'!A6</f>
        <v>Chiffre d'affaires</v>
      </c>
      <c r="B302" s="27" t="str">
        <f>'16.CR'!B6</f>
        <v>Chiffre d'affaires</v>
      </c>
      <c r="C302" s="31">
        <f>'16.CR'!C6</f>
        <v/>
      </c>
      <c r="D302" s="31">
        <f>'16.CR'!D6</f>
        <v/>
      </c>
      <c r="E302" s="31">
        <f>'16.CR'!E6</f>
        <v/>
      </c>
      <c r="G302" s="28" t="str">
        <f>'20.CR IFRS'!A4</f>
        <v>Ventes de marchandises</v>
      </c>
      <c r="H302" s="28" t="str">
        <f>'20.CR IFRS'!B4</f>
        <v>CA de Tenue de luxe Homme</v>
      </c>
      <c r="I302" s="31">
        <f>'20.CR IFRS'!C4</f>
        <v>33696000</v>
      </c>
      <c r="J302" s="31">
        <f>'20.CR IFRS'!D4</f>
        <v>37065600</v>
      </c>
      <c r="K302" s="31">
        <f>'20.CR IFRS'!E4</f>
        <v>40772160</v>
      </c>
    </row>
    <row r="303" spans="1:13">
      <c r="A303" s="28" t="str">
        <f>'16.CR'!A7</f>
        <v>Ventes de marchandises</v>
      </c>
      <c r="B303" s="28" t="str">
        <f>'16.CR'!B7</f>
        <v>CA de Tenue de luxe Homme</v>
      </c>
      <c r="C303" s="31">
        <f>'16.CR'!C7</f>
        <v>33696000</v>
      </c>
      <c r="D303" s="31">
        <f>'16.CR'!D7</f>
        <v>37065600</v>
      </c>
      <c r="E303" s="31">
        <f>'16.CR'!E7</f>
        <v>40772160</v>
      </c>
      <c r="G303" s="28" t="str">
        <f>'20.CR IFRS'!A5</f>
        <v>Ventes de produits fabriqués</v>
      </c>
      <c r="H303" s="28">
        <f>'20.CR IFRS'!B5</f>
        <v/>
      </c>
      <c r="I303" s="31">
        <f>'20.CR IFRS'!C5</f>
        <v>0</v>
      </c>
      <c r="J303" s="31">
        <f>'20.CR IFRS'!D5</f>
        <v>0</v>
      </c>
      <c r="K303" s="31">
        <f>'20.CR IFRS'!E5</f>
        <v>0</v>
      </c>
    </row>
    <row r="304" spans="1:13">
      <c r="A304" s="28" t="str">
        <f>'16.CR'!A8</f>
        <v>Ventes de produits fabriqués</v>
      </c>
      <c r="B304" s="28">
        <f>'16.CR'!B8</f>
        <v/>
      </c>
      <c r="C304" s="31">
        <f>'16.CR'!C8</f>
        <v>0</v>
      </c>
      <c r="D304" s="31">
        <f>'16.CR'!D8</f>
        <v>0</v>
      </c>
      <c r="E304" s="31">
        <f>'16.CR'!E8</f>
        <v>0</v>
      </c>
      <c r="G304" s="28" t="str">
        <f>'20.CR IFRS'!A6</f>
        <v>Vente de services</v>
      </c>
      <c r="H304" s="28">
        <f>'20.CR IFRS'!B6</f>
        <v/>
      </c>
      <c r="I304" s="31">
        <f>'20.CR IFRS'!C6</f>
        <v>0</v>
      </c>
      <c r="J304" s="31">
        <f>'20.CR IFRS'!D6</f>
        <v>0</v>
      </c>
      <c r="K304" s="31">
        <f>'20.CR IFRS'!E6</f>
        <v>0</v>
      </c>
    </row>
    <row r="305" spans="1:13">
      <c r="A305" s="28" t="str">
        <f>'16.CR'!A9</f>
        <v>Vente de services</v>
      </c>
      <c r="B305" s="28">
        <f>'16.CR'!B9</f>
        <v/>
      </c>
      <c r="C305" s="31">
        <f>'16.CR'!C9</f>
        <v>0</v>
      </c>
      <c r="D305" s="31">
        <f>'16.CR'!D9</f>
        <v>0</v>
      </c>
      <c r="E305" s="31">
        <f>'16.CR'!E9</f>
        <v>0</v>
      </c>
      <c r="G305" s="28" t="str">
        <f>'20.CR IFRS'!A7</f>
        <v>Ventes d'autre produits</v>
      </c>
      <c r="H305" s="28">
        <f>'20.CR IFRS'!B7</f>
        <v/>
      </c>
      <c r="I305" s="31">
        <f>'20.CR IFRS'!C7</f>
        <v>0</v>
      </c>
      <c r="J305" s="31">
        <f>'20.CR IFRS'!D7</f>
        <v>0</v>
      </c>
      <c r="K305" s="31">
        <f>'20.CR IFRS'!E7</f>
        <v>0</v>
      </c>
    </row>
    <row r="306" spans="1:13">
      <c r="A306" s="28" t="str">
        <f>'16.CR'!A10</f>
        <v>Ventes d'autre produits</v>
      </c>
      <c r="B306" s="28">
        <f>'16.CR'!B10</f>
        <v/>
      </c>
      <c r="C306" s="31">
        <f>'16.CR'!C10</f>
        <v>0</v>
      </c>
      <c r="D306" s="31">
        <f>'16.CR'!D10</f>
        <v>0</v>
      </c>
      <c r="E306" s="31">
        <f>'16.CR'!E10</f>
        <v>0</v>
      </c>
      <c r="G306" s="27" t="str">
        <f>'20.CR IFRS'!A8</f>
        <v>Total Revenu</v>
      </c>
      <c r="H306" s="27" t="str">
        <f>'20.CR IFRS'!B8</f>
        <v>Total Revenu</v>
      </c>
      <c r="I306" s="31">
        <f>'20.CR IFRS'!C8</f>
        <v>33696000</v>
      </c>
      <c r="J306" s="31">
        <f>'20.CR IFRS'!D8</f>
        <v>37065600</v>
      </c>
      <c r="K306" s="31">
        <f>'20.CR IFRS'!E8</f>
        <v>40772160</v>
      </c>
    </row>
    <row r="307" spans="1:13" customHeight="1" ht="15.75">
      <c r="A307" s="27" t="str">
        <f>'16.CR'!A11</f>
        <v>Total Chiffre d'Affaires</v>
      </c>
      <c r="B307" s="27" t="str">
        <f>'16.CR'!B11</f>
        <v>Total Chiffre d'Affaires</v>
      </c>
      <c r="C307" s="31">
        <f>'16.CR'!C11</f>
        <v>33696000</v>
      </c>
      <c r="D307" s="31">
        <f>'16.CR'!D11</f>
        <v>37065600</v>
      </c>
      <c r="E307" s="31">
        <f>'16.CR'!E11</f>
        <v>40772160</v>
      </c>
      <c r="G307" s="28" t="str">
        <f>'20.CR IFRS'!A9</f>
        <v>Achat de marchandises</v>
      </c>
      <c r="H307" s="28" t="str">
        <f>'20.CR IFRS'!B9</f>
        <v>Achat de Tenue de luxe Homme</v>
      </c>
      <c r="I307" s="31">
        <f>'20.CR IFRS'!C9</f>
        <v>16200000</v>
      </c>
      <c r="J307" s="31">
        <f>'20.CR IFRS'!D9</f>
        <v>17820000</v>
      </c>
      <c r="K307" s="31">
        <f>'20.CR IFRS'!E9</f>
        <v>19602000</v>
      </c>
    </row>
    <row r="308" spans="1:13">
      <c r="A308" s="27" t="str">
        <f>'16.CR'!A12</f>
        <v>Consommation intermédiaires</v>
      </c>
      <c r="B308" s="27" t="str">
        <f>'16.CR'!B12</f>
        <v>Consommation intermédiaires</v>
      </c>
      <c r="C308" s="31">
        <f>'16.CR'!C12</f>
        <v/>
      </c>
      <c r="D308" s="31">
        <f>'16.CR'!D12</f>
        <v/>
      </c>
      <c r="E308" s="31">
        <f>'16.CR'!E12</f>
        <v/>
      </c>
      <c r="G308" s="28" t="str">
        <f>'20.CR IFRS'!A10</f>
        <v>Achat de MP</v>
      </c>
      <c r="H308" s="28">
        <f>'20.CR IFRS'!B10</f>
        <v/>
      </c>
      <c r="I308" s="31">
        <f>'20.CR IFRS'!C10</f>
        <v>0</v>
      </c>
      <c r="J308" s="31">
        <f>'20.CR IFRS'!D10</f>
        <v>0</v>
      </c>
      <c r="K308" s="31">
        <f>'20.CR IFRS'!E10</f>
        <v>0</v>
      </c>
    </row>
    <row r="309" spans="1:13">
      <c r="A309" s="28" t="str">
        <f>'16.CR'!A13</f>
        <v>Achat de marchandises</v>
      </c>
      <c r="B309" s="28" t="str">
        <f>'16.CR'!B13</f>
        <v>Achat de Tenue de luxe Homme</v>
      </c>
      <c r="C309" s="31">
        <f>'16.CR'!C13</f>
        <v>16200000</v>
      </c>
      <c r="D309" s="31">
        <f>'16.CR'!D13</f>
        <v>17820000</v>
      </c>
      <c r="E309" s="31">
        <f>'16.CR'!E13</f>
        <v>19602000</v>
      </c>
      <c r="G309" s="28" t="str">
        <f>'20.CR IFRS'!A11</f>
        <v>Main d'œuvre directe vente</v>
      </c>
      <c r="H309" s="28">
        <f>'20.CR IFRS'!B11</f>
        <v/>
      </c>
      <c r="I309" s="31">
        <f>'20.CR IFRS'!C11</f>
        <v>0</v>
      </c>
      <c r="J309" s="31">
        <f>'20.CR IFRS'!D11</f>
        <v>0</v>
      </c>
      <c r="K309" s="31">
        <f>'20.CR IFRS'!E11</f>
        <v>0</v>
      </c>
    </row>
    <row r="310" spans="1:13">
      <c r="A310" s="28" t="str">
        <f>'16.CR'!A14</f>
        <v>Achat de MP</v>
      </c>
      <c r="B310" s="28">
        <f>'16.CR'!B14</f>
        <v/>
      </c>
      <c r="C310" s="31">
        <f>'16.CR'!C14</f>
        <v>0</v>
      </c>
      <c r="D310" s="31">
        <f>'16.CR'!D14</f>
        <v>0</v>
      </c>
      <c r="E310" s="31">
        <f>'16.CR'!E14</f>
        <v>0</v>
      </c>
      <c r="G310" s="28" t="str">
        <f>'20.CR IFRS'!A12</f>
        <v>Main d'œuvre directe transformation</v>
      </c>
      <c r="H310" s="28">
        <f>'20.CR IFRS'!B12</f>
        <v/>
      </c>
      <c r="I310" s="31">
        <f>'20.CR IFRS'!C12</f>
        <v>0</v>
      </c>
      <c r="J310" s="31">
        <f>'20.CR IFRS'!D12</f>
        <v>0</v>
      </c>
      <c r="K310" s="31">
        <f>'20.CR IFRS'!E12</f>
        <v>0</v>
      </c>
    </row>
    <row r="311" spans="1:13" customHeight="1" ht="15.75">
      <c r="A311" s="28" t="str">
        <f>'16.CR'!A15</f>
        <v>Main d'œuvre directe vente</v>
      </c>
      <c r="B311" s="28">
        <f>'16.CR'!B15</f>
        <v/>
      </c>
      <c r="C311" s="31">
        <f>'16.CR'!C15</f>
        <v>0</v>
      </c>
      <c r="D311" s="31">
        <f>'16.CR'!D15</f>
        <v>0</v>
      </c>
      <c r="E311" s="31">
        <f>'16.CR'!E15</f>
        <v>0</v>
      </c>
      <c r="G311" s="28" t="str">
        <f>'20.CR IFRS'!A13</f>
        <v>Main d'œuvre directe vente de services</v>
      </c>
      <c r="H311" s="28">
        <f>'20.CR IFRS'!B13</f>
        <v/>
      </c>
      <c r="I311" s="31">
        <f>'20.CR IFRS'!C13</f>
        <v>0</v>
      </c>
      <c r="J311" s="31">
        <f>'20.CR IFRS'!D13</f>
        <v>0</v>
      </c>
      <c r="K311" s="31">
        <f>'20.CR IFRS'!E13</f>
        <v>0</v>
      </c>
    </row>
    <row r="312" spans="1:13">
      <c r="A312" s="28" t="str">
        <f>'16.CR'!A16</f>
        <v>Main d'œuvre directe transformation</v>
      </c>
      <c r="B312" s="28">
        <f>'16.CR'!B16</f>
        <v/>
      </c>
      <c r="C312" s="31">
        <f>'16.CR'!C16</f>
        <v>0</v>
      </c>
      <c r="D312" s="31">
        <f>'16.CR'!D16</f>
        <v>0</v>
      </c>
      <c r="E312" s="31">
        <f>'16.CR'!E16</f>
        <v>0</v>
      </c>
      <c r="G312" s="28" t="str">
        <f>'20.CR IFRS'!A14</f>
        <v>Frais indirects de transformation </v>
      </c>
      <c r="H312" s="28">
        <f>'20.CR IFRS'!B14</f>
        <v/>
      </c>
      <c r="I312" s="31">
        <f>'20.CR IFRS'!C14</f>
        <v>0</v>
      </c>
      <c r="J312" s="31">
        <f>'20.CR IFRS'!D14</f>
        <v>0</v>
      </c>
      <c r="K312" s="31">
        <f>'20.CR IFRS'!E14</f>
        <v>0</v>
      </c>
    </row>
    <row r="313" spans="1:13">
      <c r="A313" s="28" t="str">
        <f>'16.CR'!A17</f>
        <v>Main d'œuvre directe vente de services</v>
      </c>
      <c r="B313" s="28">
        <f>'16.CR'!B17</f>
        <v/>
      </c>
      <c r="C313" s="31">
        <f>'16.CR'!C17</f>
        <v>0</v>
      </c>
      <c r="D313" s="31">
        <f>'16.CR'!D17</f>
        <v>0</v>
      </c>
      <c r="E313" s="31">
        <f>'16.CR'!E17</f>
        <v>0</v>
      </c>
      <c r="G313" s="28" t="str">
        <f>'20.CR IFRS'!A15</f>
        <v>Frais indirects de vente</v>
      </c>
      <c r="H313" s="28" t="str">
        <f>'20.CR IFRS'!B15</f>
        <v>Logistique Tenue de luxe Homme</v>
      </c>
      <c r="I313" s="31">
        <f>'20.CR IFRS'!C15</f>
        <v>2160000</v>
      </c>
      <c r="J313" s="31">
        <f>'20.CR IFRS'!D15</f>
        <v>2376000</v>
      </c>
      <c r="K313" s="31">
        <f>'20.CR IFRS'!E15</f>
        <v>2613600</v>
      </c>
    </row>
    <row r="314" spans="1:13" customHeight="1" ht="15.75">
      <c r="A314" s="28" t="str">
        <f>'16.CR'!A18</f>
        <v>Frais indirects de transformation </v>
      </c>
      <c r="B314" s="28">
        <f>'16.CR'!B18</f>
        <v/>
      </c>
      <c r="C314" s="31">
        <f>'16.CR'!C18</f>
        <v>0</v>
      </c>
      <c r="D314" s="31">
        <f>'16.CR'!D18</f>
        <v>0</v>
      </c>
      <c r="E314" s="31">
        <f>'16.CR'!E18</f>
        <v>0</v>
      </c>
      <c r="G314" s="28" t="str">
        <f>'20.CR IFRS'!A16</f>
        <v>Frais indirects de vente de services</v>
      </c>
      <c r="H314" s="28">
        <f>'20.CR IFRS'!B16</f>
        <v/>
      </c>
      <c r="I314" s="31">
        <f>'20.CR IFRS'!C16</f>
        <v>0</v>
      </c>
      <c r="J314" s="31">
        <f>'20.CR IFRS'!D16</f>
        <v>0</v>
      </c>
      <c r="K314" s="31">
        <f>'20.CR IFRS'!E16</f>
        <v>0</v>
      </c>
    </row>
    <row r="315" spans="1:13">
      <c r="A315" s="28" t="str">
        <f>'16.CR'!A19</f>
        <v>Frais indirects de vente</v>
      </c>
      <c r="B315" s="28" t="str">
        <f>'16.CR'!B19</f>
        <v>Logistique Tenue de luxe Homme</v>
      </c>
      <c r="C315" s="31">
        <f>'16.CR'!C19</f>
        <v>2160000</v>
      </c>
      <c r="D315" s="31">
        <f>'16.CR'!D19</f>
        <v>2376000</v>
      </c>
      <c r="E315" s="31">
        <f>'16.CR'!E19</f>
        <v>2613600</v>
      </c>
      <c r="G315" s="27" t="str">
        <f>'20.CR IFRS'!A17</f>
        <v>Coût des Marchandises et services vendue</v>
      </c>
      <c r="H315" s="27" t="str">
        <f>'20.CR IFRS'!B17</f>
        <v>Coût des Marchandises et services vendue</v>
      </c>
      <c r="I315" s="33">
        <f>'20.CR IFRS'!C17</f>
        <v>18360000</v>
      </c>
      <c r="J315" s="33">
        <f>'20.CR IFRS'!D17</f>
        <v>20196000</v>
      </c>
      <c r="K315" s="33">
        <f>'20.CR IFRS'!E17</f>
        <v>22215600</v>
      </c>
    </row>
    <row r="316" spans="1:13">
      <c r="A316" s="28" t="str">
        <f>'16.CR'!A20</f>
        <v>Frais indirects de vente de services</v>
      </c>
      <c r="B316" s="28">
        <f>'16.CR'!B20</f>
        <v/>
      </c>
      <c r="C316" s="31">
        <f>'16.CR'!C20</f>
        <v>0</v>
      </c>
      <c r="D316" s="31">
        <f>'16.CR'!D20</f>
        <v>0</v>
      </c>
      <c r="E316" s="31">
        <f>'16.CR'!E20</f>
        <v>0</v>
      </c>
      <c r="G316" s="29" t="str">
        <f>'20.CR IFRS'!A18</f>
        <v>Marge brute</v>
      </c>
      <c r="H316" s="29" t="str">
        <f>'20.CR IFRS'!B18</f>
        <v>Marge brute</v>
      </c>
      <c r="I316" s="33">
        <f>'20.CR IFRS'!C18</f>
        <v>15336000</v>
      </c>
      <c r="J316" s="33">
        <f>'20.CR IFRS'!D18</f>
        <v>16869600</v>
      </c>
      <c r="K316" s="33">
        <f>'20.CR IFRS'!E18</f>
        <v>18556560</v>
      </c>
    </row>
    <row r="317" spans="1:13">
      <c r="A317" s="27" t="str">
        <f>'16.CR'!A21</f>
        <v>Total consommation intermédiaires</v>
      </c>
      <c r="B317" s="27" t="str">
        <f>'16.CR'!B21</f>
        <v>Total consommation intermédiaires</v>
      </c>
      <c r="C317" s="33">
        <f>'16.CR'!C21</f>
        <v>18360000</v>
      </c>
      <c r="D317" s="33">
        <f>'16.CR'!D21</f>
        <v>20196000</v>
      </c>
      <c r="E317" s="33">
        <f>'16.CR'!E21</f>
        <v>22215600</v>
      </c>
      <c r="G317" s="130" t="str">
        <f>'20.CR IFRS'!A19</f>
        <v>Taux de Marge brute</v>
      </c>
      <c r="H317" s="130" t="str">
        <f>'20.CR IFRS'!B19</f>
        <v>Taux de Marge brute</v>
      </c>
      <c r="I317" s="131">
        <f>'20.CR IFRS'!C19</f>
        <v>0.45512820512821</v>
      </c>
      <c r="J317" s="131">
        <f>'20.CR IFRS'!D19</f>
        <v>0.45512820512821</v>
      </c>
      <c r="K317" s="131">
        <f>'20.CR IFRS'!E19</f>
        <v>0.45512820512821</v>
      </c>
    </row>
    <row r="318" spans="1:13">
      <c r="A318" s="29" t="str">
        <f>'16.CR'!A22</f>
        <v>Marge brute</v>
      </c>
      <c r="B318" s="29" t="str">
        <f>'16.CR'!B22</f>
        <v>Marge brute</v>
      </c>
      <c r="C318" s="33">
        <f>'16.CR'!C22</f>
        <v>15336000</v>
      </c>
      <c r="D318" s="33">
        <f>'16.CR'!D22</f>
        <v>16869600</v>
      </c>
      <c r="E318" s="33">
        <f>'16.CR'!E22</f>
        <v>18556560</v>
      </c>
      <c r="G318" s="28" t="str">
        <f>'20.CR IFRS'!A20</f>
        <v>Action commerciale</v>
      </c>
      <c r="H318" s="28" t="str">
        <f>'20.CR IFRS'!B20</f>
        <v>Sponsoring page réseaux sociaux</v>
      </c>
      <c r="I318" s="31">
        <f>'20.CR IFRS'!C20</f>
        <v>1900000</v>
      </c>
      <c r="J318" s="31">
        <f>'20.CR IFRS'!D20</f>
        <v>1900000</v>
      </c>
      <c r="K318" s="31">
        <f>'20.CR IFRS'!E20</f>
        <v>1900000</v>
      </c>
    </row>
    <row r="319" spans="1:13">
      <c r="A319" s="27" t="str">
        <f>'16.CR'!A23</f>
        <v>Charges d'exploitation</v>
      </c>
      <c r="B319" s="27" t="str">
        <f>'16.CR'!B23</f>
        <v>Charges d'exploitation</v>
      </c>
      <c r="C319" s="31">
        <f>'16.CR'!C23</f>
        <v/>
      </c>
      <c r="D319" s="31">
        <f>'16.CR'!D23</f>
        <v/>
      </c>
      <c r="E319" s="31">
        <f>'16.CR'!E23</f>
        <v/>
      </c>
      <c r="G319" s="28" t="str">
        <f>'20.CR IFRS'!A21</f>
        <v>Frais Généraux </v>
      </c>
      <c r="H319" s="28" t="str">
        <f>'20.CR IFRS'!B21</f>
        <v>Frais administration</v>
      </c>
      <c r="I319" s="31">
        <f>'20.CR IFRS'!C21</f>
        <v>300000</v>
      </c>
      <c r="J319" s="31">
        <f>'20.CR IFRS'!D21</f>
        <v>300000</v>
      </c>
      <c r="K319" s="31">
        <f>'20.CR IFRS'!E21</f>
        <v>300000</v>
      </c>
    </row>
    <row r="320" spans="1:13">
      <c r="A320" s="28" t="str">
        <f>'16.CR'!A24</f>
        <v>Action commerciale</v>
      </c>
      <c r="B320" s="28" t="str">
        <f>'16.CR'!B24</f>
        <v>Sponsoring page réseaux sociaux</v>
      </c>
      <c r="C320" s="31">
        <f>'16.CR'!C24</f>
        <v>1900000</v>
      </c>
      <c r="D320" s="31">
        <f>'16.CR'!D24</f>
        <v>1900000</v>
      </c>
      <c r="E320" s="31">
        <f>'16.CR'!E24</f>
        <v>1900000</v>
      </c>
      <c r="G320" s="28" t="str">
        <f>'20.CR IFRS'!A22</f>
        <v>Energie/Electricité/ Eau</v>
      </c>
      <c r="H320" s="28" t="str">
        <f>'20.CR IFRS'!B22</f>
        <v>Eau</v>
      </c>
      <c r="I320" s="31">
        <f>'20.CR IFRS'!C22</f>
        <v>990000</v>
      </c>
      <c r="J320" s="31">
        <f>'20.CR IFRS'!D22</f>
        <v>990000</v>
      </c>
      <c r="K320" s="31">
        <f>'20.CR IFRS'!E22</f>
        <v>990000</v>
      </c>
    </row>
    <row r="321" spans="1:13">
      <c r="A321" s="28" t="str">
        <f>'16.CR'!A25</f>
        <v>Frais Généraux </v>
      </c>
      <c r="B321" s="28" t="str">
        <f>'16.CR'!B25</f>
        <v>Frais administration</v>
      </c>
      <c r="C321" s="31">
        <f>'16.CR'!C25</f>
        <v>300000</v>
      </c>
      <c r="D321" s="31">
        <f>'16.CR'!D25</f>
        <v>300000</v>
      </c>
      <c r="E321" s="31">
        <f>'16.CR'!E25</f>
        <v>300000</v>
      </c>
      <c r="G321" s="28" t="str">
        <f>'20.CR IFRS'!A23</f>
        <v>Frais de transport </v>
      </c>
      <c r="H321" s="28" t="str">
        <f>'20.CR IFRS'!B23</f>
        <v>Carburant</v>
      </c>
      <c r="I321" s="31">
        <f>'20.CR IFRS'!C23</f>
        <v>600000</v>
      </c>
      <c r="J321" s="31">
        <f>'20.CR IFRS'!D23</f>
        <v>600000</v>
      </c>
      <c r="K321" s="31">
        <f>'20.CR IFRS'!E23</f>
        <v>600000</v>
      </c>
    </row>
    <row r="322" spans="1:13">
      <c r="A322" s="28" t="str">
        <f>'16.CR'!A26</f>
        <v>Energie/Electricité/ Eau</v>
      </c>
      <c r="B322" s="28" t="str">
        <f>'16.CR'!B26</f>
        <v>Eau</v>
      </c>
      <c r="C322" s="31">
        <f>'16.CR'!C26</f>
        <v>990000</v>
      </c>
      <c r="D322" s="31">
        <f>'16.CR'!D26</f>
        <v>990000</v>
      </c>
      <c r="E322" s="31">
        <f>'16.CR'!E26</f>
        <v>990000</v>
      </c>
      <c r="G322" s="28" t="str">
        <f>'20.CR IFRS'!A24</f>
        <v>Frais de communication</v>
      </c>
      <c r="H322" s="28" t="str">
        <f>'20.CR IFRS'!B24</f>
        <v>Telephone / Internet</v>
      </c>
      <c r="I322" s="31">
        <f>'20.CR IFRS'!C24</f>
        <v>600000</v>
      </c>
      <c r="J322" s="31">
        <f>'20.CR IFRS'!D24</f>
        <v>600000</v>
      </c>
      <c r="K322" s="31">
        <f>'20.CR IFRS'!E24</f>
        <v>600000</v>
      </c>
    </row>
    <row r="323" spans="1:13">
      <c r="A323" s="28" t="str">
        <f>'16.CR'!A27</f>
        <v>Frais de transport </v>
      </c>
      <c r="B323" s="28" t="str">
        <f>'16.CR'!B27</f>
        <v>Carburant</v>
      </c>
      <c r="C323" s="31">
        <f>'16.CR'!C27</f>
        <v>600000</v>
      </c>
      <c r="D323" s="31">
        <f>'16.CR'!D27</f>
        <v>600000</v>
      </c>
      <c r="E323" s="31">
        <f>'16.CR'!E27</f>
        <v>600000</v>
      </c>
      <c r="G323" s="28" t="str">
        <f>'20.CR IFRS'!A25</f>
        <v>Publicité et Marketing </v>
      </c>
      <c r="H323" s="28">
        <f>'20.CR IFRS'!B25</f>
        <v/>
      </c>
      <c r="I323" s="31">
        <f>'20.CR IFRS'!C25</f>
        <v>0</v>
      </c>
      <c r="J323" s="31">
        <f>'20.CR IFRS'!D25</f>
        <v>0</v>
      </c>
      <c r="K323" s="31">
        <f>'20.CR IFRS'!E25</f>
        <v>0</v>
      </c>
    </row>
    <row r="324" spans="1:13">
      <c r="A324" s="28" t="str">
        <f>'16.CR'!A28</f>
        <v>Frais de communication</v>
      </c>
      <c r="B324" s="28" t="str">
        <f>'16.CR'!B28</f>
        <v>Telephone / Internet</v>
      </c>
      <c r="C324" s="31">
        <f>'16.CR'!C28</f>
        <v>600000</v>
      </c>
      <c r="D324" s="31">
        <f>'16.CR'!D28</f>
        <v>600000</v>
      </c>
      <c r="E324" s="31">
        <f>'16.CR'!E28</f>
        <v>600000</v>
      </c>
      <c r="G324" s="28" t="str">
        <f>'20.CR IFRS'!A26</f>
        <v>Location</v>
      </c>
      <c r="H324" s="28" t="str">
        <f>'20.CR IFRS'!B26</f>
        <v>Loyer</v>
      </c>
      <c r="I324" s="31">
        <f>'20.CR IFRS'!C26</f>
        <v>3000000</v>
      </c>
      <c r="J324" s="31">
        <f>'20.CR IFRS'!D26</f>
        <v>3000000</v>
      </c>
      <c r="K324" s="31">
        <f>'20.CR IFRS'!E26</f>
        <v>3000000</v>
      </c>
    </row>
    <row r="325" spans="1:13">
      <c r="A325" s="28" t="str">
        <f>'16.CR'!A29</f>
        <v>Publicité et Marketing </v>
      </c>
      <c r="B325" s="28">
        <f>'16.CR'!B29</f>
        <v/>
      </c>
      <c r="C325" s="31">
        <f>'16.CR'!C29</f>
        <v>0</v>
      </c>
      <c r="D325" s="31">
        <f>'16.CR'!D29</f>
        <v>0</v>
      </c>
      <c r="E325" s="31">
        <f>'16.CR'!E29</f>
        <v>0</v>
      </c>
      <c r="G325" s="28" t="str">
        <f>'20.CR IFRS'!A27</f>
        <v>Assurance</v>
      </c>
      <c r="H325" s="28" t="str">
        <f>'20.CR IFRS'!B27</f>
        <v>Assurance voiture</v>
      </c>
      <c r="I325" s="31">
        <f>'20.CR IFRS'!C27</f>
        <v>144000</v>
      </c>
      <c r="J325" s="31">
        <f>'20.CR IFRS'!D27</f>
        <v>144000</v>
      </c>
      <c r="K325" s="31">
        <f>'20.CR IFRS'!E27</f>
        <v>144000</v>
      </c>
    </row>
    <row r="326" spans="1:13">
      <c r="A326" s="28" t="str">
        <f>'16.CR'!A30</f>
        <v>Location</v>
      </c>
      <c r="B326" s="28" t="str">
        <f>'16.CR'!B30</f>
        <v>Loyer</v>
      </c>
      <c r="C326" s="31">
        <f>'16.CR'!C30</f>
        <v>3000000</v>
      </c>
      <c r="D326" s="31">
        <f>'16.CR'!D30</f>
        <v>3000000</v>
      </c>
      <c r="E326" s="31">
        <f>'16.CR'!E30</f>
        <v>3000000</v>
      </c>
      <c r="G326" s="28" t="str">
        <f>'20.CR IFRS'!A28</f>
        <v>Prestations et Honoraires </v>
      </c>
      <c r="H326" s="28" t="str">
        <f>'20.CR IFRS'!B28</f>
        <v>Frais Infogérance</v>
      </c>
      <c r="I326" s="31">
        <f>'20.CR IFRS'!C28</f>
        <v>380000</v>
      </c>
      <c r="J326" s="31">
        <f>'20.CR IFRS'!D28</f>
        <v>380000</v>
      </c>
      <c r="K326" s="31">
        <f>'20.CR IFRS'!E28</f>
        <v>380000</v>
      </c>
    </row>
    <row r="327" spans="1:13">
      <c r="A327" s="28" t="str">
        <f>'16.CR'!A31</f>
        <v>Assurance</v>
      </c>
      <c r="B327" s="28" t="str">
        <f>'16.CR'!B31</f>
        <v>Assurance voiture</v>
      </c>
      <c r="C327" s="31">
        <f>'16.CR'!C31</f>
        <v>144000</v>
      </c>
      <c r="D327" s="31">
        <f>'16.CR'!D31</f>
        <v>144000</v>
      </c>
      <c r="E327" s="31">
        <f>'16.CR'!E31</f>
        <v>144000</v>
      </c>
      <c r="G327" s="28" t="str">
        <f>'20.CR IFRS'!A29</f>
        <v>Autres provisions </v>
      </c>
      <c r="H327" s="28">
        <f>'20.CR IFRS'!B29</f>
        <v/>
      </c>
      <c r="I327" s="31">
        <f>'20.CR IFRS'!C29</f>
        <v>0</v>
      </c>
      <c r="J327" s="31">
        <f>'20.CR IFRS'!D29</f>
        <v>0</v>
      </c>
      <c r="K327" s="31">
        <f>'20.CR IFRS'!E29</f>
        <v>0</v>
      </c>
    </row>
    <row r="328" spans="1:13">
      <c r="A328" s="28" t="str">
        <f>'16.CR'!A32</f>
        <v>Prestations et Honoraires </v>
      </c>
      <c r="B328" s="28" t="str">
        <f>'16.CR'!B32</f>
        <v>Frais Infogérance</v>
      </c>
      <c r="C328" s="31">
        <f>'16.CR'!C32</f>
        <v>380000</v>
      </c>
      <c r="D328" s="31">
        <f>'16.CR'!D32</f>
        <v>380000</v>
      </c>
      <c r="E328" s="31">
        <f>'16.CR'!E32</f>
        <v>380000</v>
      </c>
      <c r="G328" s="28" t="str">
        <f>'20.CR IFRS'!A30</f>
        <v>Taxe et redevance</v>
      </c>
      <c r="H328" s="28" t="str">
        <f>'20.CR IFRS'!B30</f>
        <v>Timbre</v>
      </c>
      <c r="I328" s="31">
        <f>'20.CR IFRS'!C30</f>
        <v>161740.8</v>
      </c>
      <c r="J328" s="31">
        <f>'20.CR IFRS'!D30</f>
        <v>177914.88</v>
      </c>
      <c r="K328" s="31">
        <f>'20.CR IFRS'!E30</f>
        <v>195706.368</v>
      </c>
    </row>
    <row r="329" spans="1:13">
      <c r="A329" s="28" t="str">
        <f>'16.CR'!A33</f>
        <v>Autres provisions </v>
      </c>
      <c r="B329" s="28">
        <f>'16.CR'!B33</f>
        <v/>
      </c>
      <c r="C329" s="31">
        <f>'16.CR'!C33</f>
        <v>0</v>
      </c>
      <c r="D329" s="31">
        <f>'16.CR'!D33</f>
        <v>0</v>
      </c>
      <c r="E329" s="31">
        <f>'16.CR'!E33</f>
        <v>0</v>
      </c>
      <c r="G329" s="28" t="str">
        <f>'20.CR IFRS'!A31</f>
        <v>Salaires et Avantages </v>
      </c>
      <c r="H329" s="28" t="str">
        <f>'20.CR IFRS'!B31</f>
        <v>Salaire personnel</v>
      </c>
      <c r="I329" s="31">
        <f>'20.CR IFRS'!C31</f>
        <v>7413120</v>
      </c>
      <c r="J329" s="31">
        <f>'20.CR IFRS'!D31</f>
        <v>8154432</v>
      </c>
      <c r="K329" s="31">
        <f>'20.CR IFRS'!E31</f>
        <v>8969875.2</v>
      </c>
    </row>
    <row r="330" spans="1:13">
      <c r="A330" s="28" t="str">
        <f>'16.CR'!A34</f>
        <v>Taxe et redevance</v>
      </c>
      <c r="B330" s="28" t="str">
        <f>'16.CR'!B34</f>
        <v>Timbre</v>
      </c>
      <c r="C330" s="31">
        <f>'16.CR'!C34</f>
        <v>161740.8</v>
      </c>
      <c r="D330" s="31">
        <f>'16.CR'!D34</f>
        <v>177914.88</v>
      </c>
      <c r="E330" s="31">
        <f>'16.CR'!E34</f>
        <v>195706.368</v>
      </c>
      <c r="G330" s="27" t="str">
        <f>'20.CR IFRS'!A32</f>
        <v>Charges d'exploitation</v>
      </c>
      <c r="H330" s="27" t="str">
        <f>'20.CR IFRS'!B32</f>
        <v>Charges d'exploitation</v>
      </c>
      <c r="I330" s="33">
        <f>'20.CR IFRS'!C32</f>
        <v>15488860.8</v>
      </c>
      <c r="J330" s="33">
        <f>'20.CR IFRS'!D32</f>
        <v>16246346.88</v>
      </c>
      <c r="K330" s="33">
        <f>'20.CR IFRS'!E32</f>
        <v>17079581.568</v>
      </c>
    </row>
    <row r="331" spans="1:13">
      <c r="A331" s="28" t="str">
        <f>'16.CR'!A35</f>
        <v>Salaires et Avantages </v>
      </c>
      <c r="B331" s="28" t="str">
        <f>'16.CR'!B35</f>
        <v>Salaire personnel</v>
      </c>
      <c r="C331" s="31">
        <f>'16.CR'!C35</f>
        <v>7413120</v>
      </c>
      <c r="D331" s="31">
        <f>'16.CR'!D35</f>
        <v>8154432</v>
      </c>
      <c r="E331" s="31">
        <f>'16.CR'!E35</f>
        <v>8969875.2</v>
      </c>
      <c r="G331" s="27" t="str">
        <f>'20.CR IFRS'!A33</f>
        <v>EBITDA</v>
      </c>
      <c r="H331" s="27" t="str">
        <f>'20.CR IFRS'!B33</f>
        <v>EBITDA</v>
      </c>
      <c r="I331" s="33">
        <f>'20.CR IFRS'!C33</f>
        <v>-152860.8</v>
      </c>
      <c r="J331" s="33">
        <f>'20.CR IFRS'!D33</f>
        <v>623253.12</v>
      </c>
      <c r="K331" s="33">
        <f>'20.CR IFRS'!E33</f>
        <v>1476978.432</v>
      </c>
    </row>
    <row r="332" spans="1:13">
      <c r="A332" s="27" t="str">
        <f>'16.CR'!A36</f>
        <v>Total charges d'exploitation</v>
      </c>
      <c r="B332" s="27" t="str">
        <f>'16.CR'!B36</f>
        <v>Total charges d'exploitation</v>
      </c>
      <c r="C332" s="33">
        <f>'16.CR'!C36</f>
        <v>15488860.8</v>
      </c>
      <c r="D332" s="33">
        <f>'16.CR'!D36</f>
        <v>16246346.88</v>
      </c>
      <c r="E332" s="33">
        <f>'16.CR'!E36</f>
        <v>17079581.568</v>
      </c>
      <c r="G332" s="130" t="str">
        <f>'20.CR IFRS'!A34</f>
        <v>Taux d'EBITDA</v>
      </c>
      <c r="H332" s="130" t="str">
        <f>'20.CR IFRS'!B34</f>
        <v>Taux d'EBITDA</v>
      </c>
      <c r="I332" s="131">
        <f>'20.CR IFRS'!C34</f>
        <v>-0.0045364672364673</v>
      </c>
      <c r="J332" s="131">
        <f>'20.CR IFRS'!D34</f>
        <v>0.016814866614867</v>
      </c>
      <c r="K332" s="131">
        <f>'20.CR IFRS'!E34</f>
        <v>0.036225170116079</v>
      </c>
    </row>
    <row r="333" spans="1:13" customHeight="1" ht="15">
      <c r="A333" s="247"/>
      <c r="B333" s="247"/>
      <c r="C333" s="247"/>
      <c r="D333" s="247"/>
      <c r="E333" s="247"/>
      <c r="G333" s="28" t="str">
        <f>'20.CR IFRS'!A35</f>
        <v>Amortissement et dépréciation</v>
      </c>
      <c r="H333" s="28" t="str">
        <f>'20.CR IFRS'!B35</f>
        <v>Amortissement et dépréciation</v>
      </c>
      <c r="I333" s="31">
        <f>'20.CR IFRS'!C35</f>
        <v>1182729.6</v>
      </c>
      <c r="J333" s="31">
        <f>'20.CR IFRS'!D35</f>
        <v>1301002.56</v>
      </c>
      <c r="K333" s="31">
        <f>'20.CR IFRS'!E35</f>
        <v>1431102.816</v>
      </c>
    </row>
    <row r="334" spans="1:13">
      <c r="A334" s="27" t="str">
        <f>'16.CR'!A38</f>
        <v>Résultat d'activité ordinaire</v>
      </c>
      <c r="B334" s="27" t="str">
        <f>'16.CR'!B38</f>
        <v>Résultat d'activité ordinaire</v>
      </c>
      <c r="C334" s="33">
        <f>'16.CR'!C38</f>
        <v>-152860.8</v>
      </c>
      <c r="D334" s="33">
        <f>'16.CR'!D38</f>
        <v>623253.12</v>
      </c>
      <c r="E334" s="33">
        <f>'16.CR'!E38</f>
        <v>1476978.432</v>
      </c>
      <c r="G334" s="27" t="str">
        <f>'20.CR IFRS'!A36</f>
        <v>EBIT</v>
      </c>
      <c r="H334" s="27" t="str">
        <f>'20.CR IFRS'!B36</f>
        <v>EBIT</v>
      </c>
      <c r="I334" s="33">
        <f>'20.CR IFRS'!C36</f>
        <v>-1335590.4</v>
      </c>
      <c r="J334" s="33">
        <f>'20.CR IFRS'!D36</f>
        <v>-677749.44</v>
      </c>
      <c r="K334" s="33">
        <f>'20.CR IFRS'!E36</f>
        <v>45875.616</v>
      </c>
    </row>
    <row r="335" spans="1:13">
      <c r="A335" s="28" t="str">
        <f>'16.CR'!A39</f>
        <v>Amortissement</v>
      </c>
      <c r="B335" s="28" t="str">
        <f>'16.CR'!B39</f>
        <v>Amortissement</v>
      </c>
      <c r="C335" s="31">
        <f>'16.CR'!C39</f>
        <v>1182729.6</v>
      </c>
      <c r="D335" s="31">
        <f>'16.CR'!D39</f>
        <v>1301002.56</v>
      </c>
      <c r="E335" s="31">
        <f>'16.CR'!E39</f>
        <v>1431102.816</v>
      </c>
      <c r="G335" s="28" t="str">
        <f>'20.CR IFRS'!A37</f>
        <v>Charges financières</v>
      </c>
      <c r="H335" s="28" t="str">
        <f>'20.CR IFRS'!B37</f>
        <v>Charges financières</v>
      </c>
      <c r="I335" s="31">
        <f>'20.CR IFRS'!C37</f>
        <v>2343354.9213467</v>
      </c>
      <c r="J335" s="31">
        <f>'20.CR IFRS'!D37</f>
        <v>1429448.8533907</v>
      </c>
      <c r="K335" s="31">
        <f>'20.CR IFRS'!E37</f>
        <v>745502.03358653</v>
      </c>
    </row>
    <row r="336" spans="1:13">
      <c r="A336" s="28" t="str">
        <f>'16.CR'!A40</f>
        <v>Frais financier</v>
      </c>
      <c r="B336" s="28" t="str">
        <f>'16.CR'!B40</f>
        <v>Frais financier</v>
      </c>
      <c r="C336" s="31">
        <f>'16.CR'!C40</f>
        <v>2343354.9213467</v>
      </c>
      <c r="D336" s="31">
        <f>'16.CR'!D40</f>
        <v>1429448.8533907</v>
      </c>
      <c r="E336" s="31">
        <f>'16.CR'!E40</f>
        <v>745502.03358653</v>
      </c>
      <c r="G336" s="27" t="str">
        <f>'20.CR IFRS'!A38</f>
        <v>Total des charges</v>
      </c>
      <c r="H336" s="27" t="str">
        <f>'20.CR IFRS'!B38</f>
        <v>Total des charges</v>
      </c>
      <c r="I336" s="33">
        <f>'20.CR IFRS'!C38</f>
        <v>37374945.321347</v>
      </c>
      <c r="J336" s="33">
        <f>'20.CR IFRS'!D38</f>
        <v>39172798.293391</v>
      </c>
      <c r="K336" s="33">
        <f>'20.CR IFRS'!E38</f>
        <v>41471786.417587</v>
      </c>
    </row>
    <row r="337" spans="1:13">
      <c r="A337" s="27" t="str">
        <f>'16.CR'!A41</f>
        <v>Résultat d'activité avant impôts</v>
      </c>
      <c r="B337" s="27" t="str">
        <f>'16.CR'!B41</f>
        <v>Résultat d'activité avant impôts</v>
      </c>
      <c r="C337" s="33">
        <f>'16.CR'!C41</f>
        <v>-3678945.3213467</v>
      </c>
      <c r="D337" s="33">
        <f>'16.CR'!D41</f>
        <v>-2107198.2933907</v>
      </c>
      <c r="E337" s="33">
        <f>'16.CR'!E41</f>
        <v>-699626.41758653</v>
      </c>
      <c r="G337" s="27" t="str">
        <f>'20.CR IFRS'!A39</f>
        <v>Résultat av. Impôt</v>
      </c>
      <c r="H337" s="27" t="str">
        <f>'20.CR IFRS'!B39</f>
        <v>Résultat av. Impôt</v>
      </c>
      <c r="I337" s="33">
        <f>'20.CR IFRS'!C39</f>
        <v>-3678945.3213467</v>
      </c>
      <c r="J337" s="33">
        <f>'20.CR IFRS'!D39</f>
        <v>-2107198.2933907</v>
      </c>
      <c r="K337" s="33">
        <f>'20.CR IFRS'!E39</f>
        <v>-699626.41758654</v>
      </c>
    </row>
    <row r="338" spans="1:13">
      <c r="A338" s="28" t="str">
        <f>'16.CR'!A42</f>
        <v>Impôt sur les entreprises</v>
      </c>
      <c r="B338" s="28" t="str">
        <f>'16.CR'!B42</f>
        <v>Impôt sur les entreprises</v>
      </c>
      <c r="C338" s="31">
        <f>'16.CR'!C42</f>
        <v>1034467.2</v>
      </c>
      <c r="D338" s="31">
        <f>'16.CR'!D42</f>
        <v>1137913.92</v>
      </c>
      <c r="E338" s="31">
        <f>'16.CR'!E42</f>
        <v>1251705.312</v>
      </c>
      <c r="G338" s="28" t="str">
        <f>'20.CR IFRS'!A40</f>
        <v>Impôt sur les entreprises</v>
      </c>
      <c r="H338" s="28" t="str">
        <f>'20.CR IFRS'!B40</f>
        <v>Impôt sur les entreprises</v>
      </c>
      <c r="I338" s="31">
        <f>'20.CR IFRS'!C40</f>
        <v>1034467.2</v>
      </c>
      <c r="J338" s="31">
        <f>'20.CR IFRS'!D40</f>
        <v>1137913.92</v>
      </c>
      <c r="K338" s="31">
        <f>'20.CR IFRS'!E40</f>
        <v>1251705.312</v>
      </c>
    </row>
    <row r="339" spans="1:13">
      <c r="A339" s="27" t="str">
        <f>'16.CR'!A43</f>
        <v>Profit ou perte </v>
      </c>
      <c r="B339" s="27" t="str">
        <f>'16.CR'!B43</f>
        <v>Profit ou perte </v>
      </c>
      <c r="C339" s="33">
        <f>'16.CR'!C43</f>
        <v>-4713412.5213467</v>
      </c>
      <c r="D339" s="33">
        <f>'16.CR'!D43</f>
        <v>-3245112.2133907</v>
      </c>
      <c r="E339" s="33">
        <f>'16.CR'!E43</f>
        <v>-1951331.7295865</v>
      </c>
      <c r="G339" s="27" t="str">
        <f>'20.CR IFRS'!A41</f>
        <v>Résultat net</v>
      </c>
      <c r="H339" s="27" t="str">
        <f>'20.CR IFRS'!B41</f>
        <v>Résultat net</v>
      </c>
      <c r="I339" s="33">
        <f>'20.CR IFRS'!C41</f>
        <v>-4713412.5213467</v>
      </c>
      <c r="J339" s="33">
        <f>'20.CR IFRS'!D41</f>
        <v>-3245112.2133907</v>
      </c>
      <c r="K339" s="33">
        <f>'20.CR IFRS'!E41</f>
        <v>-1951331.7295865</v>
      </c>
    </row>
    <row r="340" spans="1:13">
      <c r="A340" s="130" t="str">
        <f>'16.CR'!A44</f>
        <v>Taux de profitabilité</v>
      </c>
      <c r="B340" s="130" t="str">
        <f>'16.CR'!B44</f>
        <v>Taux de profitabilité</v>
      </c>
      <c r="C340" s="131">
        <f>'16.CR'!C44</f>
        <v>-0.13988047606086</v>
      </c>
      <c r="D340" s="131">
        <f>'16.CR'!D44</f>
        <v>-0.087550510807614</v>
      </c>
      <c r="E340" s="131">
        <f>'16.CR'!E44</f>
        <v>-0.047859415090751</v>
      </c>
      <c r="G340" s="130" t="str">
        <f>'20.CR IFRS'!A42</f>
        <v>Taux de profitabilité</v>
      </c>
      <c r="H340" s="130" t="str">
        <f>'20.CR IFRS'!B42</f>
        <v>Taux de profitabilité</v>
      </c>
      <c r="I340" s="131">
        <f>'20.CR IFRS'!C42</f>
        <v>-0.13988047606086</v>
      </c>
      <c r="J340" s="131">
        <f>'20.CR IFRS'!D42</f>
        <v>-0.087550510807614</v>
      </c>
      <c r="K340" s="131">
        <f>'20.CR IFRS'!E42</f>
        <v>-0.047859415090752</v>
      </c>
    </row>
    <row r="341" spans="1:13">
      <c r="A341" s="27" t="str">
        <f>'16.CR'!A45</f>
        <v>Cash-flow</v>
      </c>
      <c r="B341" s="27" t="str">
        <f>'16.CR'!B45</f>
        <v>Cash-flow</v>
      </c>
      <c r="C341" s="33">
        <f>'16.CR'!C45</f>
        <v>-3530682.9213467</v>
      </c>
      <c r="D341" s="33">
        <f>'16.CR'!D45</f>
        <v>-1944109.6533907</v>
      </c>
      <c r="E341" s="33">
        <f>'16.CR'!E45</f>
        <v>-520228.91358653</v>
      </c>
      <c r="G341" s="28" t="str">
        <f>'20.CR IFRS'!A43</f>
        <v>Amortissement et dépréciation</v>
      </c>
      <c r="H341" s="28" t="str">
        <f>'20.CR IFRS'!B43</f>
        <v>Amortissement et dépréciation</v>
      </c>
      <c r="I341" s="31">
        <f>'20.CR IFRS'!C43</f>
        <v>1182729.6</v>
      </c>
      <c r="J341" s="31">
        <f>'20.CR IFRS'!D43</f>
        <v>1301002.56</v>
      </c>
      <c r="K341" s="31">
        <f>'20.CR IFRS'!E43</f>
        <v>1431102.816</v>
      </c>
    </row>
    <row r="342" spans="1:13">
      <c r="G342" s="27" t="str">
        <f>'20.CR IFRS'!A44</f>
        <v>CAF</v>
      </c>
      <c r="H342" s="27" t="str">
        <f>'20.CR IFRS'!B44</f>
        <v>CAF</v>
      </c>
      <c r="I342" s="33">
        <f>'20.CR IFRS'!C44</f>
        <v>-3530682.9213467</v>
      </c>
      <c r="J342" s="33">
        <f>'20.CR IFRS'!D44</f>
        <v>-1944109.6533907</v>
      </c>
      <c r="K342" s="33">
        <f>'20.CR IFRS'!E44</f>
        <v>-520228.91358654</v>
      </c>
    </row>
    <row r="345" spans="1:13">
      <c r="A345" s="272"/>
      <c r="B345" s="273"/>
      <c r="C345" s="273"/>
      <c r="D345" s="273"/>
      <c r="E345" s="273"/>
      <c r="F345" s="273"/>
      <c r="G345" s="273"/>
    </row>
    <row r="346" spans="1:13" customHeight="1" ht="21.75">
      <c r="A346" s="338" t="s">
        <v>154</v>
      </c>
      <c r="B346" s="338"/>
      <c r="C346" s="338"/>
      <c r="D346" s="338"/>
      <c r="E346" s="338"/>
      <c r="F346" s="338"/>
      <c r="G346" s="338"/>
    </row>
    <row r="347" spans="1:13" customHeight="1" ht="15">
      <c r="A347" s="219"/>
      <c r="B347" s="220" t="s">
        <v>155</v>
      </c>
      <c r="C347" s="221"/>
      <c r="D347" s="221"/>
      <c r="E347" s="221"/>
      <c r="F347" s="221"/>
      <c r="G347" s="222"/>
      <c r="H347" s="221"/>
      <c r="I347" s="221"/>
      <c r="J347" s="221"/>
      <c r="K347" s="221"/>
      <c r="L347" s="221"/>
      <c r="M347" s="227"/>
    </row>
    <row r="348" spans="1:13" customHeight="1" ht="15">
      <c r="A348" s="283" t="s">
        <v>156</v>
      </c>
      <c r="B348" s="223">
        <v>1</v>
      </c>
      <c r="C348" s="224">
        <v>2</v>
      </c>
      <c r="D348" s="224">
        <v>3</v>
      </c>
      <c r="E348" s="224">
        <v>4</v>
      </c>
      <c r="F348" s="224">
        <v>5</v>
      </c>
      <c r="G348" s="225">
        <v>6</v>
      </c>
      <c r="H348" s="224">
        <v>7</v>
      </c>
      <c r="I348" s="224">
        <v>8</v>
      </c>
      <c r="J348" s="224">
        <v>9</v>
      </c>
      <c r="K348" s="224">
        <v>10</v>
      </c>
      <c r="L348" s="224">
        <v>11</v>
      </c>
      <c r="M348" s="228">
        <v>12</v>
      </c>
    </row>
    <row r="349" spans="1:13" customHeight="1" ht="15">
      <c r="A349" s="284" t="s">
        <v>157</v>
      </c>
      <c r="B349" s="285">
        <f>'15.Tre.Men'!C5</f>
        <v>0</v>
      </c>
      <c r="C349" s="286">
        <f>'15.Tre.Men'!D5</f>
        <v>550279.90884397</v>
      </c>
      <c r="D349" s="286">
        <f>'15.Tre.Men'!E5</f>
        <v>-14491868.964687</v>
      </c>
      <c r="E349" s="286">
        <f>'15.Tre.Men'!F5</f>
        <v>-17606682.838219</v>
      </c>
      <c r="F349" s="286">
        <f>'15.Tre.Men'!G5</f>
        <v>-20721496.71175</v>
      </c>
      <c r="G349" s="287">
        <f>'15.Tre.Men'!H5</f>
        <v>-23836310.585281</v>
      </c>
      <c r="H349" s="285">
        <f>'15.Tre.Men'!I5</f>
        <v>-26951124.458813</v>
      </c>
      <c r="I349" s="286">
        <f>'15.Tre.Men'!J5</f>
        <v>-30065938.332344</v>
      </c>
      <c r="J349" s="286">
        <f>'15.Tre.Men'!K5</f>
        <v>-33180752.205876</v>
      </c>
      <c r="K349" s="286">
        <f>'15.Tre.Men'!L5</f>
        <v>-36295566.079407</v>
      </c>
      <c r="L349" s="286">
        <f>'15.Tre.Men'!M5</f>
        <v>-39410379.952938</v>
      </c>
      <c r="M349" s="309">
        <f>'15.Tre.Men'!N5</f>
        <v>-42525193.82647</v>
      </c>
    </row>
    <row r="350" spans="1:13" customHeight="1" ht="15">
      <c r="A350" s="288" t="s">
        <v>158</v>
      </c>
      <c r="B350" s="289"/>
      <c r="C350" s="290"/>
      <c r="D350" s="290"/>
      <c r="E350" s="290"/>
      <c r="F350" s="290"/>
      <c r="G350" s="291"/>
      <c r="H350" s="289"/>
      <c r="I350" s="290"/>
      <c r="J350" s="290"/>
      <c r="K350" s="290"/>
      <c r="L350" s="290"/>
      <c r="M350" s="310"/>
    </row>
    <row r="351" spans="1:13" customHeight="1" ht="15">
      <c r="A351" s="226" t="s">
        <v>159</v>
      </c>
      <c r="B351" s="292">
        <f>'15.Tre.Men'!C9</f>
        <v>29361200.8718</v>
      </c>
      <c r="C351" s="292">
        <f>'15.Tre.Men'!D9</f>
        <v>2808000</v>
      </c>
      <c r="D351" s="292">
        <f>'15.Tre.Men'!E9</f>
        <v>2808000</v>
      </c>
      <c r="E351" s="292">
        <f>'15.Tre.Men'!F9</f>
        <v>2808000</v>
      </c>
      <c r="F351" s="292">
        <f>'15.Tre.Men'!G9</f>
        <v>2808000</v>
      </c>
      <c r="G351" s="293">
        <f>'15.Tre.Men'!H9</f>
        <v>2808000</v>
      </c>
      <c r="H351" s="294">
        <f>'15.Tre.Men'!I9</f>
        <v>2808000</v>
      </c>
      <c r="I351" s="292">
        <f>'15.Tre.Men'!J9</f>
        <v>2808000</v>
      </c>
      <c r="J351" s="292">
        <f>'15.Tre.Men'!K9</f>
        <v>2808000</v>
      </c>
      <c r="K351" s="292">
        <f>'15.Tre.Men'!L9</f>
        <v>2808000</v>
      </c>
      <c r="L351" s="292">
        <f>'15.Tre.Men'!M9</f>
        <v>2808000</v>
      </c>
      <c r="M351" s="311">
        <f>'15.Tre.Men'!N9</f>
        <v>2808000</v>
      </c>
    </row>
    <row r="352" spans="1:13" customHeight="1" ht="15">
      <c r="A352" s="288" t="s">
        <v>160</v>
      </c>
      <c r="B352" s="289"/>
      <c r="C352" s="290"/>
      <c r="D352" s="290"/>
      <c r="E352" s="290"/>
      <c r="F352" s="290"/>
      <c r="G352" s="291"/>
      <c r="H352" s="289"/>
      <c r="I352" s="290"/>
      <c r="J352" s="290"/>
      <c r="K352" s="290"/>
      <c r="L352" s="290"/>
      <c r="M352" s="310"/>
    </row>
    <row r="353" spans="1:13" customHeight="1" ht="15">
      <c r="A353" s="226" t="s">
        <v>161</v>
      </c>
      <c r="B353" s="292">
        <f>'[1]8.TRM'!D69</f>
        <v>0</v>
      </c>
      <c r="C353" s="292">
        <f>'[1]8.TRM'!E69</f>
        <v>0</v>
      </c>
      <c r="D353" s="292">
        <f>'[1]8.TRM'!F69</f>
        <v>0</v>
      </c>
      <c r="E353" s="292">
        <f>'[1]8.TRM'!G69</f>
        <v>0</v>
      </c>
      <c r="F353" s="292">
        <f>'[1]8.TRM'!H69</f>
        <v>0</v>
      </c>
      <c r="G353" s="293">
        <f>'[1]8.TRM'!I69</f>
        <v>0</v>
      </c>
      <c r="H353" s="294">
        <f>'[1]8.TRM'!J69</f>
        <v>0</v>
      </c>
      <c r="I353" s="292">
        <f>'[1]8.TRM'!K69</f>
        <v>0</v>
      </c>
      <c r="J353" s="292">
        <f>'[1]8.TRM'!L69</f>
        <v>0</v>
      </c>
      <c r="K353" s="292">
        <f>'[1]8.TRM'!M69</f>
        <v>0</v>
      </c>
      <c r="L353" s="292">
        <f>'[1]8.TRM'!N69</f>
        <v>0</v>
      </c>
      <c r="M353" s="311">
        <f>'[1]8.TRM'!O69</f>
        <v>0</v>
      </c>
    </row>
    <row r="354" spans="1:13" customHeight="1" ht="15">
      <c r="A354" s="288" t="s">
        <v>162</v>
      </c>
      <c r="B354" s="289"/>
      <c r="C354" s="290"/>
      <c r="D354" s="290"/>
      <c r="E354" s="290"/>
      <c r="F354" s="290"/>
      <c r="G354" s="291"/>
      <c r="H354" s="289"/>
      <c r="I354" s="290"/>
      <c r="J354" s="290"/>
      <c r="K354" s="290"/>
      <c r="L354" s="290"/>
      <c r="M354" s="310"/>
    </row>
    <row r="355" spans="1:13" customHeight="1" ht="15">
      <c r="A355" s="226" t="s">
        <v>163</v>
      </c>
      <c r="B355" s="294">
        <f>'15.Tre.Men'!C13</f>
        <v>1567500</v>
      </c>
      <c r="C355" s="292">
        <f>'15.Tre.Men'!D13</f>
        <v>1567500</v>
      </c>
      <c r="D355" s="292">
        <f>'15.Tre.Men'!E13</f>
        <v>1567500</v>
      </c>
      <c r="E355" s="292">
        <f>'15.Tre.Men'!F13</f>
        <v>1567500</v>
      </c>
      <c r="F355" s="292">
        <f>'15.Tre.Men'!G13</f>
        <v>1567500</v>
      </c>
      <c r="G355" s="293">
        <f>'15.Tre.Men'!H13</f>
        <v>1567500</v>
      </c>
      <c r="H355" s="294">
        <f>'15.Tre.Men'!I13</f>
        <v>1567500</v>
      </c>
      <c r="I355" s="292">
        <f>'15.Tre.Men'!J13</f>
        <v>1567500</v>
      </c>
      <c r="J355" s="292">
        <f>'15.Tre.Men'!K13</f>
        <v>1567500</v>
      </c>
      <c r="K355" s="292">
        <f>'15.Tre.Men'!L13</f>
        <v>1567500</v>
      </c>
      <c r="L355" s="292">
        <f>'15.Tre.Men'!M13</f>
        <v>1567500</v>
      </c>
      <c r="M355" s="311">
        <f>'15.Tre.Men'!N13</f>
        <v>1567500</v>
      </c>
    </row>
    <row r="356" spans="1:13" customHeight="1" ht="15">
      <c r="A356" s="288" t="s">
        <v>164</v>
      </c>
      <c r="B356" s="289"/>
      <c r="C356" s="290"/>
      <c r="D356" s="290"/>
      <c r="E356" s="290"/>
      <c r="F356" s="290"/>
      <c r="G356" s="291"/>
      <c r="H356" s="289"/>
      <c r="I356" s="290"/>
      <c r="J356" s="290"/>
      <c r="K356" s="290"/>
      <c r="L356" s="290"/>
      <c r="M356" s="310"/>
    </row>
    <row r="357" spans="1:13" customHeight="1" ht="15">
      <c r="A357" s="226" t="s">
        <v>165</v>
      </c>
      <c r="B357" s="294">
        <f>'15.Tre.Men'!C15</f>
        <v>2749500</v>
      </c>
      <c r="C357" s="292">
        <f>'15.Tre.Men'!D15</f>
        <v>469500</v>
      </c>
      <c r="D357" s="292">
        <f>'15.Tre.Men'!E15</f>
        <v>469500</v>
      </c>
      <c r="E357" s="292">
        <f>'15.Tre.Men'!F15</f>
        <v>469500</v>
      </c>
      <c r="F357" s="292">
        <f>'15.Tre.Men'!G15</f>
        <v>469500</v>
      </c>
      <c r="G357" s="293">
        <f>'15.Tre.Men'!H15</f>
        <v>469500</v>
      </c>
      <c r="H357" s="294">
        <f>'15.Tre.Men'!I15</f>
        <v>469500</v>
      </c>
      <c r="I357" s="292">
        <f>'15.Tre.Men'!J15</f>
        <v>469500</v>
      </c>
      <c r="J357" s="292">
        <f>'15.Tre.Men'!K15</f>
        <v>469500</v>
      </c>
      <c r="K357" s="292">
        <f>'15.Tre.Men'!L15</f>
        <v>469500</v>
      </c>
      <c r="L357" s="292">
        <f>'15.Tre.Men'!M15</f>
        <v>469500</v>
      </c>
      <c r="M357" s="311">
        <f>'15.Tre.Men'!N15</f>
        <v>469500</v>
      </c>
    </row>
    <row r="358" spans="1:13" customHeight="1" ht="15">
      <c r="A358" s="226" t="s">
        <v>166</v>
      </c>
      <c r="B358" s="294">
        <f>'15.Tre.Men'!C16</f>
        <v>617760</v>
      </c>
      <c r="C358" s="292">
        <f>'15.Tre.Men'!D16</f>
        <v>617760</v>
      </c>
      <c r="D358" s="292">
        <f>'15.Tre.Men'!E16</f>
        <v>617760</v>
      </c>
      <c r="E358" s="292">
        <f>'15.Tre.Men'!F16</f>
        <v>617760</v>
      </c>
      <c r="F358" s="292">
        <f>'15.Tre.Men'!G16</f>
        <v>617760</v>
      </c>
      <c r="G358" s="293">
        <f>'15.Tre.Men'!H16</f>
        <v>617760</v>
      </c>
      <c r="H358" s="294">
        <f>'15.Tre.Men'!I16</f>
        <v>617760</v>
      </c>
      <c r="I358" s="292">
        <f>'15.Tre.Men'!J16</f>
        <v>617760</v>
      </c>
      <c r="J358" s="292">
        <f>'15.Tre.Men'!K16</f>
        <v>617760</v>
      </c>
      <c r="K358" s="292">
        <f>'15.Tre.Men'!L16</f>
        <v>617760</v>
      </c>
      <c r="L358" s="292">
        <f>'15.Tre.Men'!M16</f>
        <v>617760</v>
      </c>
      <c r="M358" s="311">
        <f>'15.Tre.Men'!N16</f>
        <v>617760</v>
      </c>
    </row>
    <row r="359" spans="1:13" customHeight="1" ht="15">
      <c r="A359" s="226" t="s">
        <v>167</v>
      </c>
      <c r="B359" s="294">
        <f>'15.Tre.Men'!C17</f>
        <v>13478.4</v>
      </c>
      <c r="C359" s="292">
        <f>'15.Tre.Men'!D17</f>
        <v>13478.4</v>
      </c>
      <c r="D359" s="292">
        <f>'15.Tre.Men'!E17</f>
        <v>13478.4</v>
      </c>
      <c r="E359" s="292">
        <f>'15.Tre.Men'!F17</f>
        <v>13478.4</v>
      </c>
      <c r="F359" s="292">
        <f>'15.Tre.Men'!G17</f>
        <v>13478.4</v>
      </c>
      <c r="G359" s="293">
        <f>'15.Tre.Men'!H17</f>
        <v>13478.4</v>
      </c>
      <c r="H359" s="294">
        <f>'15.Tre.Men'!I17</f>
        <v>13478.4</v>
      </c>
      <c r="I359" s="292">
        <f>'15.Tre.Men'!J17</f>
        <v>13478.4</v>
      </c>
      <c r="J359" s="292">
        <f>'15.Tre.Men'!K17</f>
        <v>13478.4</v>
      </c>
      <c r="K359" s="292">
        <f>'15.Tre.Men'!L17</f>
        <v>13478.4</v>
      </c>
      <c r="L359" s="292">
        <f>'15.Tre.Men'!M17</f>
        <v>13478.4</v>
      </c>
      <c r="M359" s="311">
        <f>'15.Tre.Men'!N17</f>
        <v>1047945.6</v>
      </c>
    </row>
    <row r="360" spans="1:13" customHeight="1" ht="15">
      <c r="A360" s="295" t="s">
        <v>168</v>
      </c>
      <c r="B360" s="296">
        <f>'15.Tre.Men'!C19</f>
        <v>288928.55592455</v>
      </c>
      <c r="C360" s="297">
        <f>'15.Tre.Men'!D19</f>
        <v>292299.38907701</v>
      </c>
      <c r="D360" s="297">
        <f>'15.Tre.Men'!E19</f>
        <v>295709.54861624</v>
      </c>
      <c r="E360" s="297">
        <f>'15.Tre.Men'!F19</f>
        <v>299159.4933501</v>
      </c>
      <c r="F360" s="297">
        <f>'15.Tre.Men'!G19</f>
        <v>302649.68743918</v>
      </c>
      <c r="G360" s="298">
        <f>'15.Tre.Men'!H19</f>
        <v>306180.6004593</v>
      </c>
      <c r="H360" s="296">
        <f>'15.Tre.Men'!I19</f>
        <v>309752.70746466</v>
      </c>
      <c r="I360" s="297">
        <f>'15.Tre.Men'!J19</f>
        <v>313366.48905175</v>
      </c>
      <c r="J360" s="297">
        <f>'15.Tre.Men'!K19</f>
        <v>317022.43142402</v>
      </c>
      <c r="K360" s="297">
        <f>'15.Tre.Men'!L19</f>
        <v>320721.0264573</v>
      </c>
      <c r="L360" s="297">
        <f>'15.Tre.Men'!M19</f>
        <v>324462.77176597</v>
      </c>
      <c r="M360" s="312">
        <f>'15.Tre.Men'!N19</f>
        <v>328248.17076991</v>
      </c>
    </row>
    <row r="361" spans="1:13" customHeight="1" ht="15">
      <c r="A361" s="295" t="s">
        <v>169</v>
      </c>
      <c r="B361" s="296">
        <f>'15.Tre.Men'!C20</f>
        <v>43149.176837667</v>
      </c>
      <c r="C361" s="297">
        <f>'15.Tre.Men'!D20</f>
        <v>39778.343685214</v>
      </c>
      <c r="D361" s="297">
        <f>'15.Tre.Men'!E20</f>
        <v>36368.184145982</v>
      </c>
      <c r="E361" s="297">
        <f>'15.Tre.Men'!F20</f>
        <v>32918.239412126</v>
      </c>
      <c r="F361" s="297">
        <f>'15.Tre.Men'!G20</f>
        <v>29428.045323041</v>
      </c>
      <c r="G361" s="298">
        <f>'15.Tre.Men'!H20</f>
        <v>25897.132302917</v>
      </c>
      <c r="H361" s="296">
        <f>'15.Tre.Men'!I20</f>
        <v>22325.025297559</v>
      </c>
      <c r="I361" s="297">
        <f>'15.Tre.Men'!J20</f>
        <v>18711.243710471</v>
      </c>
      <c r="J361" s="297">
        <f>'15.Tre.Men'!K20</f>
        <v>15055.301338201</v>
      </c>
      <c r="K361" s="297">
        <f>'15.Tre.Men'!L20</f>
        <v>11356.706304921</v>
      </c>
      <c r="L361" s="297">
        <f>'15.Tre.Men'!M20</f>
        <v>7614.960996252</v>
      </c>
      <c r="M361" s="312">
        <f>'15.Tre.Men'!N20</f>
        <v>3829.5619923157</v>
      </c>
    </row>
    <row r="362" spans="1:13" customHeight="1" ht="15">
      <c r="A362" s="295" t="s">
        <v>170</v>
      </c>
      <c r="B362" s="296">
        <f>'15.Tre.Men'!C21</f>
        <v>580994.58019381</v>
      </c>
      <c r="C362" s="297">
        <f>'15.Tre.Men'!D21</f>
        <v>580994.58019381</v>
      </c>
      <c r="D362" s="297">
        <f>'15.Tre.Men'!E21</f>
        <v>580994.58019381</v>
      </c>
      <c r="E362" s="297">
        <f>'15.Tre.Men'!F21</f>
        <v>580994.58019381</v>
      </c>
      <c r="F362" s="297">
        <f>'15.Tre.Men'!G21</f>
        <v>580994.58019381</v>
      </c>
      <c r="G362" s="298">
        <f>'15.Tre.Men'!H21</f>
        <v>580994.58019381</v>
      </c>
      <c r="H362" s="296">
        <f>'15.Tre.Men'!I21</f>
        <v>580994.58019381</v>
      </c>
      <c r="I362" s="297">
        <f>'15.Tre.Men'!J21</f>
        <v>580994.58019381</v>
      </c>
      <c r="J362" s="297">
        <f>'15.Tre.Men'!K21</f>
        <v>580994.58019381</v>
      </c>
      <c r="K362" s="297">
        <f>'15.Tre.Men'!L21</f>
        <v>580994.58019381</v>
      </c>
      <c r="L362" s="297">
        <f>'15.Tre.Men'!M21</f>
        <v>580994.58019381</v>
      </c>
      <c r="M362" s="312">
        <f>'15.Tre.Men'!N21</f>
        <v>580994.58019381</v>
      </c>
    </row>
    <row r="363" spans="1:13" customHeight="1" ht="15">
      <c r="A363" s="295" t="s">
        <v>171</v>
      </c>
      <c r="B363" s="296">
        <f>'15.Tre.Men'!C22</f>
        <v>171410.25</v>
      </c>
      <c r="C363" s="297">
        <f>'15.Tre.Men'!D22</f>
        <v>171410.25</v>
      </c>
      <c r="D363" s="297">
        <f>'15.Tre.Men'!E22</f>
        <v>171410.25</v>
      </c>
      <c r="E363" s="297">
        <f>'15.Tre.Men'!F22</f>
        <v>171410.25</v>
      </c>
      <c r="F363" s="297">
        <f>'15.Tre.Men'!G22</f>
        <v>171410.25</v>
      </c>
      <c r="G363" s="298">
        <f>'15.Tre.Men'!H22</f>
        <v>171410.25</v>
      </c>
      <c r="H363" s="296">
        <f>'15.Tre.Men'!I22</f>
        <v>171410.25</v>
      </c>
      <c r="I363" s="297">
        <f>'15.Tre.Men'!J22</f>
        <v>171410.25</v>
      </c>
      <c r="J363" s="297">
        <f>'15.Tre.Men'!K22</f>
        <v>171410.25</v>
      </c>
      <c r="K363" s="297">
        <f>'15.Tre.Men'!L22</f>
        <v>171410.25</v>
      </c>
      <c r="L363" s="297">
        <f>'15.Tre.Men'!M22</f>
        <v>171410.25</v>
      </c>
      <c r="M363" s="312">
        <f>'15.Tre.Men'!N22</f>
        <v>171410.25</v>
      </c>
    </row>
    <row r="364" spans="1:13" customHeight="1" ht="15">
      <c r="A364" s="226" t="s">
        <v>172</v>
      </c>
      <c r="B364" s="294">
        <f>'15.Tre.Men'!C23</f>
        <v>1084482.562956</v>
      </c>
      <c r="C364" s="292">
        <f>'15.Tre.Men'!D23</f>
        <v>1084482.562956</v>
      </c>
      <c r="D364" s="292">
        <f>'15.Tre.Men'!E23</f>
        <v>1084482.562956</v>
      </c>
      <c r="E364" s="292">
        <f>'15.Tre.Men'!F23</f>
        <v>1084482.562956</v>
      </c>
      <c r="F364" s="292">
        <f>'15.Tre.Men'!G23</f>
        <v>1084482.562956</v>
      </c>
      <c r="G364" s="293">
        <f>'15.Tre.Men'!H23</f>
        <v>1084482.562956</v>
      </c>
      <c r="H364" s="294">
        <f>'15.Tre.Men'!I23</f>
        <v>1084482.562956</v>
      </c>
      <c r="I364" s="292">
        <f>'15.Tre.Men'!J23</f>
        <v>1084482.562956</v>
      </c>
      <c r="J364" s="292">
        <f>'15.Tre.Men'!K23</f>
        <v>1084482.562956</v>
      </c>
      <c r="K364" s="292">
        <f>'15.Tre.Men'!L23</f>
        <v>1084482.562956</v>
      </c>
      <c r="L364" s="292">
        <f>'15.Tre.Men'!M23</f>
        <v>1084482.562956</v>
      </c>
      <c r="M364" s="311">
        <f>'15.Tre.Men'!N23</f>
        <v>1084482.562956</v>
      </c>
    </row>
    <row r="365" spans="1:13">
      <c r="A365" s="299" t="s">
        <v>173</v>
      </c>
      <c r="B365" s="300">
        <f>'15.Tre.Men'!C24</f>
        <v>28810920.962956</v>
      </c>
      <c r="C365" s="301">
        <f>'15.Tre.Men'!D24</f>
        <v>17850148.873531</v>
      </c>
      <c r="D365" s="301">
        <f>'15.Tre.Men'!E24</f>
        <v>5922813.8735314</v>
      </c>
      <c r="E365" s="301">
        <f>'15.Tre.Men'!F24</f>
        <v>5922813.8735314</v>
      </c>
      <c r="F365" s="302">
        <f>'15.Tre.Men'!G24</f>
        <v>5922813.8735314</v>
      </c>
      <c r="G365" s="303">
        <f>'15.Tre.Men'!H24</f>
        <v>5922813.8735314</v>
      </c>
      <c r="H365" s="300">
        <f>'15.Tre.Men'!I24</f>
        <v>5922813.8735314</v>
      </c>
      <c r="I365" s="301">
        <f>'15.Tre.Men'!J24</f>
        <v>5922813.8735314</v>
      </c>
      <c r="J365" s="301">
        <f>'15.Tre.Men'!K24</f>
        <v>5922813.8735314</v>
      </c>
      <c r="K365" s="301">
        <f>'15.Tre.Men'!L24</f>
        <v>5922813.8735314</v>
      </c>
      <c r="L365" s="301">
        <f>'15.Tre.Men'!M24</f>
        <v>5922813.8735314</v>
      </c>
      <c r="M365" s="313">
        <f>'15.Tre.Men'!N24</f>
        <v>14421022.395026</v>
      </c>
    </row>
    <row r="366" spans="1:13" customHeight="1" ht="15">
      <c r="A366" s="304" t="s">
        <v>174</v>
      </c>
      <c r="B366" s="305">
        <f>'15.Tre.Men'!C25</f>
        <v>550279.90884397</v>
      </c>
      <c r="C366" s="306">
        <f>'15.Tre.Men'!D25</f>
        <v>-14491868.964687</v>
      </c>
      <c r="D366" s="306">
        <f>'15.Tre.Men'!E25</f>
        <v>-17606682.838219</v>
      </c>
      <c r="E366" s="306">
        <f>'15.Tre.Men'!F25</f>
        <v>-20721496.71175</v>
      </c>
      <c r="F366" s="307">
        <f>'15.Tre.Men'!G25</f>
        <v>-23836310.585281</v>
      </c>
      <c r="G366" s="308">
        <f>'15.Tre.Men'!H25</f>
        <v>-26951124.458813</v>
      </c>
      <c r="H366" s="305">
        <f>'15.Tre.Men'!I25</f>
        <v>-30065938.332344</v>
      </c>
      <c r="I366" s="306">
        <f>'15.Tre.Men'!J25</f>
        <v>-33180752.205876</v>
      </c>
      <c r="J366" s="306">
        <f>'15.Tre.Men'!K25</f>
        <v>-36295566.079407</v>
      </c>
      <c r="K366" s="306">
        <f>'15.Tre.Men'!L25</f>
        <v>-39410379.952938</v>
      </c>
      <c r="L366" s="306">
        <f>'15.Tre.Men'!M25</f>
        <v>-42525193.82647</v>
      </c>
      <c r="M366" s="314">
        <f>'15.Tre.Men'!N25</f>
        <v>-54138216.221496</v>
      </c>
    </row>
    <row r="367" spans="1:13" customHeight="1" ht="15">
      <c r="A367" s="276"/>
      <c r="B367" s="273"/>
      <c r="C367" s="273"/>
      <c r="D367" s="273"/>
      <c r="E367" s="273"/>
      <c r="F367" s="273"/>
      <c r="G367" s="273"/>
    </row>
    <row r="368" spans="1:13">
      <c r="A368" s="273"/>
      <c r="B368" s="273"/>
      <c r="C368" s="273"/>
      <c r="D368" s="273"/>
      <c r="E368" s="273"/>
      <c r="F368" s="273"/>
      <c r="G368" s="273"/>
    </row>
    <row r="369" spans="1:13" customHeight="1" ht="16">
      <c r="A369" s="333" t="s">
        <v>175</v>
      </c>
      <c r="B369" s="333"/>
      <c r="C369" s="333"/>
      <c r="D369" s="333"/>
      <c r="E369" s="333"/>
      <c r="F369" s="333"/>
      <c r="G369" s="333"/>
    </row>
    <row r="370" spans="1:13" customHeight="1" ht="17">
      <c r="A370" s="191"/>
      <c r="B370" s="191"/>
      <c r="C370" s="191"/>
      <c r="D370" s="191"/>
      <c r="E370" s="191"/>
      <c r="F370" s="191"/>
      <c r="G370" s="191"/>
    </row>
    <row r="371" spans="1:13" customHeight="1" ht="17">
      <c r="A371" s="219"/>
      <c r="B371" s="220"/>
      <c r="C371" s="220"/>
      <c r="D371" s="320"/>
      <c r="E371" s="191"/>
      <c r="F371" s="191"/>
      <c r="G371" s="191"/>
    </row>
    <row r="372" spans="1:13" customHeight="1" ht="17">
      <c r="A372" s="283" t="s">
        <v>156</v>
      </c>
      <c r="B372" s="330" t="s">
        <v>144</v>
      </c>
      <c r="C372" s="330" t="s">
        <v>88</v>
      </c>
      <c r="D372" s="331" t="s">
        <v>89</v>
      </c>
      <c r="E372" s="191"/>
      <c r="F372" s="191"/>
      <c r="G372" s="191"/>
    </row>
    <row r="373" spans="1:13" customHeight="1" ht="17">
      <c r="A373" s="284" t="s">
        <v>157</v>
      </c>
      <c r="B373" s="285">
        <f>'17.Tre.An'!C5</f>
        <v>0</v>
      </c>
      <c r="C373" s="285">
        <f>'17.Tre.An'!D5</f>
        <v>-10426117.883672</v>
      </c>
      <c r="D373" s="321">
        <f>'17.Tre.An'!E5</f>
        <v>-19969636.645998</v>
      </c>
      <c r="E373" s="191"/>
      <c r="F373" s="191"/>
      <c r="G373" s="191"/>
    </row>
    <row r="374" spans="1:13" customHeight="1" ht="17">
      <c r="A374" s="288" t="s">
        <v>158</v>
      </c>
      <c r="B374" s="289"/>
      <c r="C374" s="289"/>
      <c r="D374" s="322"/>
      <c r="E374" s="191"/>
      <c r="F374" s="191"/>
      <c r="G374" s="191"/>
    </row>
    <row r="375" spans="1:13" customHeight="1" ht="17">
      <c r="A375" s="226" t="s">
        <v>159</v>
      </c>
      <c r="B375" s="317">
        <f>'17.Tre.An'!C9</f>
        <v>60249200.8718</v>
      </c>
      <c r="C375" s="317">
        <f>'17.Tre.An'!D9</f>
        <v>37065600</v>
      </c>
      <c r="D375" s="323">
        <f>'17.Tre.An'!E9</f>
        <v>40772160</v>
      </c>
      <c r="E375" s="191"/>
      <c r="F375" s="191"/>
      <c r="G375" s="191"/>
    </row>
    <row r="376" spans="1:13" customHeight="1" ht="17">
      <c r="A376" s="288" t="s">
        <v>160</v>
      </c>
      <c r="B376" s="318"/>
      <c r="C376" s="318"/>
      <c r="D376" s="322"/>
      <c r="E376" s="191"/>
      <c r="F376" s="191"/>
      <c r="G376" s="191"/>
    </row>
    <row r="377" spans="1:13" customHeight="1" ht="17">
      <c r="A377" s="226" t="s">
        <v>161</v>
      </c>
      <c r="B377" s="319">
        <f>'17.Tre.An'!C11</f>
        <v>22778200</v>
      </c>
      <c r="C377" s="319">
        <f>'17.Tre.An'!D11</f>
        <v>0</v>
      </c>
      <c r="D377" s="324">
        <f>'17.Tre.An'!E11</f>
        <v>0</v>
      </c>
      <c r="E377" s="191"/>
      <c r="F377" s="191"/>
      <c r="G377" s="191"/>
    </row>
    <row r="378" spans="1:13" customHeight="1" ht="17">
      <c r="A378" s="288" t="s">
        <v>162</v>
      </c>
      <c r="B378" s="289"/>
      <c r="C378" s="289"/>
      <c r="D378" s="322"/>
      <c r="E378" s="191"/>
      <c r="F378" s="191"/>
      <c r="G378" s="191"/>
    </row>
    <row r="379" spans="1:13" customHeight="1" ht="17">
      <c r="A379" s="226" t="s">
        <v>163</v>
      </c>
      <c r="B379" s="294">
        <f>'17.Tre.An'!C13</f>
        <v>18360000</v>
      </c>
      <c r="C379" s="294">
        <f>'17.Tre.An'!D13</f>
        <v>20196000</v>
      </c>
      <c r="D379" s="324">
        <f>'17.Tre.An'!E13</f>
        <v>22215600</v>
      </c>
      <c r="E379" s="191"/>
      <c r="F379" s="191"/>
      <c r="G379" s="191"/>
    </row>
    <row r="380" spans="1:13" customHeight="1" ht="17">
      <c r="A380" s="288" t="s">
        <v>164</v>
      </c>
      <c r="B380" s="289"/>
      <c r="C380" s="289"/>
      <c r="D380" s="322"/>
      <c r="E380" s="191"/>
      <c r="F380" s="191"/>
      <c r="G380" s="191"/>
    </row>
    <row r="381" spans="1:13" customHeight="1" ht="17">
      <c r="A381" s="226" t="s">
        <v>165</v>
      </c>
      <c r="B381" s="294">
        <f>'17.Tre.An'!C15</f>
        <v>7914000</v>
      </c>
      <c r="C381" s="294">
        <f>'17.Tre.An'!D15</f>
        <v>7914000</v>
      </c>
      <c r="D381" s="324">
        <f>'17.Tre.An'!E15</f>
        <v>7914000</v>
      </c>
      <c r="E381" s="191"/>
      <c r="F381" s="191"/>
      <c r="G381" s="191"/>
    </row>
    <row r="382" spans="1:13" customHeight="1" ht="17">
      <c r="A382" s="226" t="s">
        <v>166</v>
      </c>
      <c r="B382" s="294">
        <f>'17.Tre.An'!C16</f>
        <v>7413120</v>
      </c>
      <c r="C382" s="294">
        <f>'17.Tre.An'!D16</f>
        <v>8154432</v>
      </c>
      <c r="D382" s="324">
        <f>'17.Tre.An'!E16</f>
        <v>8969875.2</v>
      </c>
      <c r="E382" s="191"/>
      <c r="F382" s="191"/>
      <c r="G382" s="191"/>
    </row>
    <row r="383" spans="1:13" customHeight="1" ht="17">
      <c r="A383" s="226" t="s">
        <v>167</v>
      </c>
      <c r="B383" s="294">
        <f>+'17.Tre.An'!C17</f>
        <v>1196208</v>
      </c>
      <c r="C383" s="294">
        <f>+'17.Tre.An'!D17</f>
        <v>1315828.8</v>
      </c>
      <c r="D383" s="324">
        <f>+'17.Tre.An'!E17</f>
        <v>1447411.68</v>
      </c>
      <c r="E383" s="191"/>
      <c r="F383" s="191"/>
      <c r="G383" s="191"/>
    </row>
    <row r="384" spans="1:13" customHeight="1" ht="17">
      <c r="A384" s="295" t="s">
        <v>168</v>
      </c>
      <c r="B384" s="296">
        <f>'17.Tre.An'!C19</f>
        <v>3698500.8718</v>
      </c>
      <c r="C384" s="296">
        <f>'17.Tre.An'!D19</f>
        <v>0</v>
      </c>
      <c r="D384" s="325">
        <f>'17.Tre.An'!E19</f>
        <v>0</v>
      </c>
      <c r="E384" s="191"/>
      <c r="F384" s="191"/>
      <c r="G384" s="191"/>
    </row>
    <row r="385" spans="1:13" customHeight="1" ht="17">
      <c r="A385" s="295" t="s">
        <v>169</v>
      </c>
      <c r="B385" s="296">
        <f>'17.Tre.An'!C20</f>
        <v>286431.92134667</v>
      </c>
      <c r="C385" s="296">
        <f>'17.Tre.An'!D20</f>
        <v>0</v>
      </c>
      <c r="D385" s="325">
        <f>'17.Tre.An'!E20</f>
        <v>0</v>
      </c>
      <c r="E385" s="191"/>
      <c r="F385" s="191"/>
      <c r="G385" s="191"/>
    </row>
    <row r="386" spans="1:13" customHeight="1" ht="17">
      <c r="A386" s="295" t="s">
        <v>170</v>
      </c>
      <c r="B386" s="296">
        <f>'17.Tre.An'!C21</f>
        <v>6971934.9623257</v>
      </c>
      <c r="C386" s="296">
        <f>'17.Tre.An'!D21</f>
        <v>7599409.108935</v>
      </c>
      <c r="D386" s="325">
        <f>'17.Tre.An'!E21</f>
        <v>8283355.9287392</v>
      </c>
      <c r="E386" s="191"/>
      <c r="F386" s="191"/>
      <c r="G386" s="191"/>
    </row>
    <row r="387" spans="1:13" customHeight="1" ht="17">
      <c r="A387" s="295" t="s">
        <v>171</v>
      </c>
      <c r="B387" s="296">
        <f>'17.Tre.An'!C22</f>
        <v>2056923</v>
      </c>
      <c r="C387" s="296">
        <f>'17.Tre.An'!D22</f>
        <v>1429448.8533907</v>
      </c>
      <c r="D387" s="325">
        <f>'17.Tre.An'!E22</f>
        <v>745502.03358653</v>
      </c>
      <c r="E387" s="191"/>
      <c r="F387" s="191"/>
      <c r="G387" s="191"/>
    </row>
    <row r="388" spans="1:13" customHeight="1" ht="17">
      <c r="A388" s="226" t="s">
        <v>172</v>
      </c>
      <c r="B388" s="294">
        <f>'17.Tre.An'!C23</f>
        <v>13013790.755472</v>
      </c>
      <c r="C388" s="294">
        <f>'17.Tre.An'!D23</f>
        <v>9028857.9623257</v>
      </c>
      <c r="D388" s="324">
        <f>'17.Tre.An'!E23</f>
        <v>9028857.9623257</v>
      </c>
      <c r="E388" s="191"/>
      <c r="F388" s="191"/>
      <c r="G388" s="191"/>
    </row>
    <row r="389" spans="1:13" customHeight="1" ht="16">
      <c r="A389" s="299" t="s">
        <v>173</v>
      </c>
      <c r="B389" s="300">
        <f>'17.Tre.An'!C24</f>
        <v>70675318.755472</v>
      </c>
      <c r="C389" s="300">
        <f>'17.Tre.An'!D24</f>
        <v>46609118.762326</v>
      </c>
      <c r="D389" s="326">
        <f>'17.Tre.An'!E24</f>
        <v>49575744.842326</v>
      </c>
      <c r="E389" s="191"/>
      <c r="F389" s="191"/>
      <c r="G389" s="191"/>
    </row>
    <row r="390" spans="1:13" customHeight="1" ht="17">
      <c r="A390" s="304" t="s">
        <v>174</v>
      </c>
      <c r="B390" s="305">
        <f>'17.Tre.An'!C25</f>
        <v>-10426117.883672</v>
      </c>
      <c r="C390" s="305">
        <f>'17.Tre.An'!D25</f>
        <v>-19969636.645998</v>
      </c>
      <c r="D390" s="327">
        <f>'17.Tre.An'!E25</f>
        <v>-28773221.488324</v>
      </c>
      <c r="E390" s="191"/>
      <c r="F390" s="191"/>
      <c r="G390" s="191"/>
    </row>
    <row r="391" spans="1:13" customHeight="1" ht="17">
      <c r="A391" s="191"/>
      <c r="B391" s="191"/>
      <c r="C391" s="191"/>
      <c r="D391" s="191"/>
      <c r="E391" s="191"/>
      <c r="F391" s="191"/>
      <c r="G391" s="191"/>
    </row>
    <row r="392" spans="1:13" customHeight="1" ht="16">
      <c r="A392" s="191"/>
      <c r="B392" s="191"/>
      <c r="C392" s="191"/>
      <c r="D392" s="191"/>
      <c r="E392" s="191"/>
      <c r="F392" s="191"/>
      <c r="G392" s="191"/>
    </row>
    <row r="393" spans="1:13" customHeight="1" ht="16">
      <c r="A393" s="191"/>
      <c r="B393" s="191"/>
      <c r="C393" s="191"/>
      <c r="D393" s="191"/>
      <c r="E393" s="191"/>
      <c r="F393" s="191"/>
      <c r="G393" s="191"/>
    </row>
    <row r="394" spans="1:13">
      <c r="A394" s="276"/>
      <c r="B394" s="273"/>
      <c r="C394" s="273"/>
      <c r="D394" s="273"/>
      <c r="E394" s="273"/>
      <c r="F394" s="273"/>
      <c r="G394" s="273"/>
    </row>
    <row r="395" spans="1:13" customHeight="1" ht="16">
      <c r="A395" s="333" t="s">
        <v>176</v>
      </c>
      <c r="B395" s="333"/>
      <c r="C395" s="333"/>
      <c r="D395" s="333"/>
      <c r="E395" s="333"/>
      <c r="F395" s="333"/>
      <c r="G395" s="333"/>
    </row>
    <row r="396" spans="1:13" customHeight="1" ht="15">
      <c r="A396" s="26" t="s">
        <v>177</v>
      </c>
      <c r="B396" s="329" t="s">
        <v>144</v>
      </c>
      <c r="C396" s="329" t="s">
        <v>88</v>
      </c>
      <c r="D396" s="329" t="s">
        <v>89</v>
      </c>
      <c r="E396" s="247"/>
      <c r="F396" s="247"/>
      <c r="G396" s="273"/>
    </row>
    <row r="397" spans="1:13" customHeight="1" ht="15">
      <c r="A397" s="328" t="str">
        <f>'19.Bilan'!B4</f>
        <v>Actif</v>
      </c>
      <c r="B397" s="328"/>
      <c r="C397" s="328"/>
      <c r="D397" s="328"/>
      <c r="E397" s="247"/>
      <c r="F397" s="247"/>
      <c r="G397" s="273"/>
    </row>
    <row r="398" spans="1:13" customHeight="1" ht="15">
      <c r="A398" s="26">
        <f>'19.Bilan'!B5</f>
        <v/>
      </c>
      <c r="B398" s="100" t="s">
        <v>178</v>
      </c>
      <c r="C398" s="100" t="s">
        <v>178</v>
      </c>
      <c r="D398" s="100" t="s">
        <v>178</v>
      </c>
      <c r="E398" s="247"/>
      <c r="F398" s="247"/>
      <c r="G398" s="273"/>
    </row>
    <row r="399" spans="1:13" customHeight="1" ht="15">
      <c r="A399" s="101" t="str">
        <f>'19.Bilan'!B6</f>
        <v>Actifs immobilisés</v>
      </c>
      <c r="B399" s="102">
        <f>'19.Bilan'!C6</f>
        <v>21595470.4</v>
      </c>
      <c r="C399" s="102">
        <f>'19.Bilan'!D6</f>
        <v>20294467.84</v>
      </c>
      <c r="D399" s="102">
        <f>'19.Bilan'!E6</f>
        <v>18863365.024</v>
      </c>
      <c r="E399" s="247"/>
      <c r="F399" s="247"/>
      <c r="G399" s="273"/>
    </row>
    <row r="400" spans="1:13" customHeight="1" ht="15">
      <c r="A400" s="101" t="str">
        <f>'19.Bilan'!B7</f>
        <v>Actif circulant</v>
      </c>
      <c r="B400" s="102">
        <f>'19.Bilan'!C7</f>
        <v>-10426117.883672</v>
      </c>
      <c r="C400" s="102">
        <f>'19.Bilan'!D7</f>
        <v>-19969636.645998</v>
      </c>
      <c r="D400" s="102">
        <f>'19.Bilan'!E7</f>
        <v>-28773221.488324</v>
      </c>
      <c r="E400" s="247"/>
      <c r="F400" s="247"/>
      <c r="G400" s="273"/>
    </row>
    <row r="401" spans="1:13" customHeight="1" ht="15">
      <c r="A401" s="101" t="str">
        <f>'19.Bilan'!B8</f>
        <v>Total</v>
      </c>
      <c r="B401" s="102">
        <f>'19.Bilan'!C8</f>
        <v>11169352.516328</v>
      </c>
      <c r="C401" s="102">
        <f>'19.Bilan'!D8</f>
        <v>324831.19400189</v>
      </c>
      <c r="D401" s="102">
        <f>'19.Bilan'!E8</f>
        <v>-9909856.4643238</v>
      </c>
      <c r="E401" s="247"/>
      <c r="F401" s="247"/>
      <c r="G401" s="273"/>
    </row>
    <row r="402" spans="1:13" customHeight="1" ht="15">
      <c r="A402" s="328" t="str">
        <f>'19.Bilan'!B9</f>
        <v>Passif</v>
      </c>
      <c r="B402" s="328">
        <f>'19.Bilan'!C9</f>
        <v/>
      </c>
      <c r="C402" s="328">
        <f>'19.Bilan'!D9</f>
        <v/>
      </c>
      <c r="D402" s="328">
        <f>'19.Bilan'!E9</f>
        <v/>
      </c>
      <c r="E402" s="247"/>
      <c r="F402" s="247"/>
      <c r="G402" s="273"/>
    </row>
    <row r="403" spans="1:13" customHeight="1" ht="15">
      <c r="A403" s="26">
        <f>'19.Bilan'!B10</f>
        <v/>
      </c>
      <c r="B403" s="100" t="str">
        <f>'19.Bilan'!C10</f>
        <v>Net</v>
      </c>
      <c r="C403" s="100" t="str">
        <f>'19.Bilan'!D10</f>
        <v>Net</v>
      </c>
      <c r="D403" s="100" t="str">
        <f>'19.Bilan'!E10</f>
        <v>Net</v>
      </c>
      <c r="E403" s="247"/>
      <c r="F403" s="247"/>
      <c r="G403" s="273"/>
    </row>
    <row r="404" spans="1:13" customHeight="1" ht="15">
      <c r="A404" s="105" t="str">
        <f>'19.Bilan'!B11</f>
        <v>Capitaux et résultat</v>
      </c>
      <c r="B404" s="102">
        <f>'19.Bilan'!C11</f>
        <v>-4713412.5213467</v>
      </c>
      <c r="C404" s="102">
        <f>'19.Bilan'!D11</f>
        <v>-7958524.7347373</v>
      </c>
      <c r="D404" s="102">
        <f>'19.Bilan'!E11</f>
        <v>-9909856.4643239</v>
      </c>
      <c r="E404" s="247"/>
      <c r="F404" s="247"/>
      <c r="G404" s="273"/>
    </row>
    <row r="405" spans="1:13" customHeight="1" ht="15">
      <c r="A405" s="106" t="str">
        <f>'19.Bilan'!B12</f>
        <v>Résultat net</v>
      </c>
      <c r="B405" s="107">
        <f>'19.Bilan'!C12</f>
        <v>-4713412.5213467</v>
      </c>
      <c r="C405" s="107">
        <f>'19.Bilan'!D12</f>
        <v>-3245112.2133907</v>
      </c>
      <c r="D405" s="107">
        <f>'19.Bilan'!E12</f>
        <v>-1951331.7295865</v>
      </c>
      <c r="E405" s="247"/>
      <c r="F405" s="247"/>
      <c r="G405" s="273"/>
    </row>
    <row r="406" spans="1:13" customHeight="1" ht="15">
      <c r="A406" s="106" t="str">
        <f>'19.Bilan'!B13</f>
        <v>Capital et avoir des actionnaires</v>
      </c>
      <c r="B406" s="103">
        <f>'19.Bilan'!C13</f>
        <v>0</v>
      </c>
      <c r="C406" s="103">
        <f>'19.Bilan'!D13</f>
        <v>0</v>
      </c>
      <c r="D406" s="103">
        <f>'19.Bilan'!E13</f>
        <v>0</v>
      </c>
      <c r="E406" s="247"/>
      <c r="F406" s="247"/>
      <c r="G406" s="273"/>
    </row>
    <row r="407" spans="1:13" customHeight="1" ht="15">
      <c r="A407" s="106" t="str">
        <f>'19.Bilan'!B14</f>
        <v>Report à nouveau</v>
      </c>
      <c r="B407" s="103">
        <f>'19.Bilan'!C14</f>
        <v>0</v>
      </c>
      <c r="C407" s="103">
        <f>'19.Bilan'!D14</f>
        <v>-4713412.5213467</v>
      </c>
      <c r="D407" s="103">
        <f>'19.Bilan'!E14</f>
        <v>-7958524.7347373</v>
      </c>
      <c r="E407" s="247"/>
      <c r="F407" s="247"/>
      <c r="G407" s="273"/>
    </row>
    <row r="408" spans="1:13" customHeight="1" ht="15">
      <c r="A408" s="105" t="str">
        <f>'19.Bilan'!B15</f>
        <v>Dettes financières</v>
      </c>
      <c r="B408" s="102">
        <f>'19.Bilan'!C15</f>
        <v>15882765.037674</v>
      </c>
      <c r="C408" s="102">
        <f>'19.Bilan'!D15</f>
        <v>8283355.9287392</v>
      </c>
      <c r="D408" s="102">
        <f>'19.Bilan'!E15</f>
        <v>2.6077032089233E-8</v>
      </c>
      <c r="E408" s="247"/>
      <c r="F408" s="247"/>
      <c r="G408" s="273"/>
    </row>
    <row r="409" spans="1:13" customHeight="1" ht="15">
      <c r="A409" s="106" t="str">
        <f>'19.Bilan'!B16</f>
        <v>Dettes à long terme</v>
      </c>
      <c r="B409" s="103">
        <f>'19.Bilan'!C16</f>
        <v>15882765.037674</v>
      </c>
      <c r="C409" s="103">
        <f>'19.Bilan'!D16</f>
        <v>8283355.9287392</v>
      </c>
      <c r="D409" s="103">
        <f>'19.Bilan'!E16</f>
        <v>2.6077032089233E-8</v>
      </c>
      <c r="E409" s="247"/>
      <c r="F409" s="247"/>
      <c r="G409" s="273"/>
    </row>
    <row r="410" spans="1:13" customHeight="1" ht="15">
      <c r="A410" s="105" t="str">
        <f>'19.Bilan'!B17</f>
        <v>Passif circulant</v>
      </c>
      <c r="B410" s="102">
        <f>'19.Bilan'!C17</f>
        <v>0</v>
      </c>
      <c r="C410" s="102">
        <f>'19.Bilan'!D17</f>
        <v>0</v>
      </c>
      <c r="D410" s="102">
        <f>'19.Bilan'!E17</f>
        <v>0</v>
      </c>
      <c r="E410" s="247"/>
      <c r="F410" s="247"/>
      <c r="G410" s="273"/>
    </row>
    <row r="411" spans="1:13" customHeight="1" ht="15">
      <c r="A411" s="101" t="str">
        <f>'19.Bilan'!B18</f>
        <v>Total</v>
      </c>
      <c r="B411" s="102">
        <f>'19.Bilan'!C18</f>
        <v>11169352.516328</v>
      </c>
      <c r="C411" s="102">
        <f>'19.Bilan'!D18</f>
        <v>324831.19400188</v>
      </c>
      <c r="D411" s="102">
        <f>'19.Bilan'!E18</f>
        <v>-9909856.4643239</v>
      </c>
      <c r="E411" s="247"/>
      <c r="F411" s="247"/>
      <c r="G411" s="27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243:B243"/>
    <mergeCell ref="A244:B244"/>
    <mergeCell ref="A245:B245"/>
    <mergeCell ref="A233:B233"/>
    <mergeCell ref="A199:G199"/>
    <mergeCell ref="A211:G211"/>
    <mergeCell ref="B219:F219"/>
    <mergeCell ref="A223:G223"/>
    <mergeCell ref="A224:G224"/>
    <mergeCell ref="A227:B227"/>
    <mergeCell ref="A228:B228"/>
    <mergeCell ref="A229:B229"/>
    <mergeCell ref="A230:B230"/>
    <mergeCell ref="A231:B231"/>
    <mergeCell ref="A232:B232"/>
    <mergeCell ref="A145:B145"/>
    <mergeCell ref="A146:B146"/>
    <mergeCell ref="A153:G153"/>
    <mergeCell ref="A154:G154"/>
    <mergeCell ref="A152:G152"/>
    <mergeCell ref="A150:B150"/>
    <mergeCell ref="A147:B147"/>
    <mergeCell ref="A148:B148"/>
    <mergeCell ref="A149:B149"/>
    <mergeCell ref="A140:B140"/>
    <mergeCell ref="A141:B141"/>
    <mergeCell ref="A142:B142"/>
    <mergeCell ref="A143:B143"/>
    <mergeCell ref="A144:B144"/>
    <mergeCell ref="A136:B136"/>
    <mergeCell ref="D107:G107"/>
    <mergeCell ref="A99:G99"/>
    <mergeCell ref="A100:B100"/>
    <mergeCell ref="C100:G100"/>
    <mergeCell ref="A101:G101"/>
    <mergeCell ref="D102:G102"/>
    <mergeCell ref="A103:B103"/>
    <mergeCell ref="D105:G105"/>
    <mergeCell ref="D106:G106"/>
    <mergeCell ref="D108:G108"/>
    <mergeCell ref="A137:B137"/>
    <mergeCell ref="A138:B138"/>
    <mergeCell ref="A139:B139"/>
    <mergeCell ref="A22:A24"/>
    <mergeCell ref="B22:B24"/>
    <mergeCell ref="A105:B105"/>
    <mergeCell ref="A106:B106"/>
    <mergeCell ref="A126:G126"/>
    <mergeCell ref="A127:G127"/>
    <mergeCell ref="A128:G128"/>
    <mergeCell ref="A129:G129"/>
    <mergeCell ref="A130:G130"/>
    <mergeCell ref="A98:G98"/>
    <mergeCell ref="A132:D132"/>
    <mergeCell ref="A134:B134"/>
    <mergeCell ref="A135:B135"/>
    <mergeCell ref="F22:G22"/>
    <mergeCell ref="F27:G27"/>
    <mergeCell ref="A76:G76"/>
    <mergeCell ref="D103:G103"/>
    <mergeCell ref="D104:G104"/>
    <mergeCell ref="A157:G157"/>
    <mergeCell ref="A173:D173"/>
    <mergeCell ref="A160:G160"/>
    <mergeCell ref="A161:G161"/>
    <mergeCell ref="A162:G162"/>
    <mergeCell ref="A163:G163"/>
    <mergeCell ref="A165:G165"/>
    <mergeCell ref="A167:G167"/>
    <mergeCell ref="A169:D169"/>
    <mergeCell ref="A170:D170"/>
    <mergeCell ref="A171:D171"/>
    <mergeCell ref="A172:D172"/>
    <mergeCell ref="A158:G158"/>
    <mergeCell ref="A250:B250"/>
    <mergeCell ref="A252:G252"/>
    <mergeCell ref="A262:G262"/>
    <mergeCell ref="A234:B234"/>
    <mergeCell ref="A235:B235"/>
    <mergeCell ref="A236:B236"/>
    <mergeCell ref="A237:B237"/>
    <mergeCell ref="A238:B238"/>
    <mergeCell ref="A239:B239"/>
    <mergeCell ref="A240:B240"/>
    <mergeCell ref="A246:B246"/>
    <mergeCell ref="A247:B247"/>
    <mergeCell ref="A248:B248"/>
    <mergeCell ref="A249:B249"/>
    <mergeCell ref="A241:B241"/>
    <mergeCell ref="A242:B242"/>
    <mergeCell ref="A369:G369"/>
    <mergeCell ref="A395:G395"/>
    <mergeCell ref="A263:A264"/>
    <mergeCell ref="A269:G269"/>
    <mergeCell ref="A297:G297"/>
    <mergeCell ref="A298:G298"/>
    <mergeCell ref="A346:G346"/>
  </mergeCells>
  <conditionalFormatting sqref="B122:G122">
    <cfRule type="cellIs" dxfId="0" priority="1" operator="lessThanOrEqual">
      <formula>0</formula>
    </cfRule>
  </conditionalFormatting>
  <conditionalFormatting sqref="B366:M366">
    <cfRule type="cellIs" dxfId="1" priority="2" operator="lessThanOrEqual">
      <formula>0</formula>
    </cfRule>
  </conditionalFormatting>
  <conditionalFormatting sqref="B390:D390">
    <cfRule type="cellIs" dxfId="1" priority="3" operator="lessThanOrEqual">
      <formula>0</formula>
    </cfRule>
  </conditionalFormatting>
  <dataValidations count="1">
    <dataValidation type="decimal" operator="greaterThanOrEqual" allowBlank="1" showDropDown="0" showInputMessage="1" showErrorMessage="1" error="Saisir un nombre." sqref="C11:C14">
      <formula1>0</formula1>
    </dataValidation>
  </dataValidations>
  <hyperlinks>
    <hyperlink ref="A77" location="_Toc3199075"/>
    <hyperlink ref="G77" location="_Toc3199075"/>
    <hyperlink ref="A78" location="_Toc3199077"/>
    <hyperlink ref="B78" location="_Toc3199077"/>
    <hyperlink ref="G78" location="_Toc3199077"/>
    <hyperlink ref="A79" location="_Toc3199078"/>
    <hyperlink ref="B79" location="_Toc3199078"/>
    <hyperlink ref="G79" location="_Toc3199078"/>
    <hyperlink ref="A80" location="_Toc3199079"/>
    <hyperlink ref="B80" location="_Toc3199079"/>
    <hyperlink ref="G80" location="_Toc3199079"/>
    <hyperlink ref="A81" location="_Toc3199080"/>
    <hyperlink ref="B81" location="_Toc3199080"/>
    <hyperlink ref="G81" location="_Toc3199080"/>
    <hyperlink ref="A82" location="BP_Pres!A142"/>
    <hyperlink ref="B82" location="BP_Pres!A142"/>
    <hyperlink ref="G82" location="BP_Pres!A142"/>
    <hyperlink ref="A83" location="_Toc3199082"/>
    <hyperlink ref="B83" location="_Toc3199082"/>
    <hyperlink ref="G83" location="_Toc3199082"/>
    <hyperlink ref="A84" location="_Toc3199083"/>
    <hyperlink ref="B84" location="_Toc3199083"/>
    <hyperlink ref="G84" location="_Toc3199083"/>
    <hyperlink ref="A85" location="_Toc3199084"/>
    <hyperlink ref="B85" location="_Toc3199084"/>
    <hyperlink ref="G85" location="_Toc3199084"/>
    <hyperlink ref="A87" location="_Toc3199087"/>
    <hyperlink ref="B87" location="_Toc3199087"/>
    <hyperlink ref="G87" location="_Toc3199087"/>
    <hyperlink ref="A88" location="_Toc3199088"/>
    <hyperlink ref="B88" location="_Toc3199088"/>
    <hyperlink ref="G88" location="_Toc3199088"/>
    <hyperlink ref="A89" location="_Toc3199089"/>
    <hyperlink ref="B89" location="_Toc3199089"/>
    <hyperlink ref="G89" location="_Toc3199089"/>
    <hyperlink ref="A90" location="_Toc3199090"/>
    <hyperlink ref="B90" location="_Toc3199090"/>
    <hyperlink ref="G90" location="_Toc3199090"/>
    <hyperlink ref="A91" location="_Toc3199091"/>
    <hyperlink ref="B91" location="_Toc3199091"/>
    <hyperlink ref="G91" location="_Toc3199091"/>
    <hyperlink ref="A92" location="_Toc3199092"/>
    <hyperlink ref="B92" location="_Toc3199092"/>
    <hyperlink ref="G92" location="_Toc3199092"/>
    <hyperlink ref="A93" location="_Toc3199093"/>
    <hyperlink ref="B93" location="_Toc3199093"/>
    <hyperlink ref="G93" location="_Toc3199093"/>
    <hyperlink ref="A94" location="_Toc3199094"/>
    <hyperlink ref="B94" location="_Toc3199094"/>
    <hyperlink ref="G94" location="_Toc3199094"/>
    <hyperlink ref="B95" location="BP_Pres!A453"/>
    <hyperlink ref="A95" location="BP_Pres!A453"/>
    <hyperlink ref="G95" location="BP_Pres!A453"/>
  </hyperlinks>
  <printOptions gridLines="false" gridLinesSet="true" horizontalCentered="true"/>
  <pageMargins left="0.78740157480315" right="0.78740157480315" top="0.78740157480315" bottom="0.39370078740157" header="0.39370078740157" footer="0.39370078740157"/>
  <pageSetup paperSize="9" orientation="portrait" scale="85" fitToHeight="0" fitToWidth="1" pageOrder="downThenOver" r:id="rId1"/>
  <headerFooter differentOddEven="false" differentFirst="false" scaleWithDoc="true" alignWithMargins="true">
    <oddHeader/>
    <oddFooter>&amp;RPage&amp;P</oddFooter>
    <evenHeader/>
    <evenFooter/>
    <firstHeader/>
    <firstFooter/>
  </headerFooter>
  <rowBreaks count="11" manualBreakCount="11">
    <brk id="74" man="1"/>
    <brk id="97" man="1"/>
    <brk id="124" man="1"/>
    <brk id="154" man="1"/>
    <brk id="164" man="1"/>
    <brk id="209" man="1"/>
    <brk id="250" man="1"/>
    <brk id="295" man="1"/>
    <brk id="344" man="1"/>
    <brk id="366" man="1"/>
    <brk id="368" man="1"/>
  </rowBreaks>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1"/>
  <sheetViews>
    <sheetView tabSelected="0" workbookViewId="0" zoomScale="70" zoomScaleNormal="70" showGridLines="true" showRowColHeaders="1">
      <selection activeCell="Q29" sqref="Q29"/>
    </sheetView>
  </sheetViews>
  <sheetFormatPr defaultRowHeight="14.4" outlineLevelRow="0" outlineLevelCol="0"/>
  <sheetData>
    <row r="1" spans="1:1">
      <c r="A1" s="124" t="s">
        <v>179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0070C0"/>
    <outlinePr summaryBelow="1" summaryRight="1"/>
  </sheetPr>
  <dimension ref="A1:E21"/>
  <sheetViews>
    <sheetView tabSelected="0" workbookViewId="0" zoomScale="160" zoomScaleNormal="160" showGridLines="true" showRowColHeaders="1">
      <selection activeCell="A16" sqref="A16:XFD16"/>
    </sheetView>
  </sheetViews>
  <sheetFormatPr defaultRowHeight="14.4" defaultColWidth="10.83203125" outlineLevelRow="0" outlineLevelCol="0"/>
  <cols>
    <col min="1" max="1" width="29.1640625" customWidth="true" style="1"/>
    <col min="2" max="2" width="10.83203125" style="1"/>
    <col min="3" max="3" width="14.5" customWidth="true" style="1"/>
    <col min="4" max="4" width="10.83203125" style="1"/>
  </cols>
  <sheetData>
    <row r="1" spans="1:5" customHeight="1" ht="14">
      <c r="A1" s="124" t="s">
        <v>180</v>
      </c>
      <c r="C1" s="125"/>
    </row>
    <row r="2" spans="1:5">
      <c r="A2" s="1" t="s">
        <v>181</v>
      </c>
    </row>
    <row r="3" spans="1:5">
      <c r="B3" s="1" t="s">
        <v>61</v>
      </c>
      <c r="C3" s="1" t="s">
        <v>62</v>
      </c>
      <c r="D3" s="1" t="s">
        <v>63</v>
      </c>
    </row>
    <row r="4" spans="1:5">
      <c r="A4" s="1" t="s">
        <v>182</v>
      </c>
      <c r="B4" s="234"/>
    </row>
    <row r="5" spans="1:5">
      <c r="A5" s="1" t="s">
        <v>183</v>
      </c>
      <c r="B5" s="234">
        <f>SUMIF('21.BFR'!$F$3:$F$41,'1.Var.Fin'!B6,'21.BFR'!$G$3:$G$41)+SUMIF('7.Bud.Inv.'!$D$3:$D$22,'1.Var.Fin'!B6,'7.Bud.Inv.'!$Q$3:$Q$22)</f>
        <v>22854700</v>
      </c>
      <c r="C5" s="234">
        <f>SUMIF('21.BFR'!$F$3:$F$41,'1.Var.Fin'!C6,'21.BFR'!$G$3:$G$41)+SUMIF('7.Bud.Inv.'!$D$3:$D$22,'1.Var.Fin'!C6,'7.Bud.Inv.'!$Q$3:$Q$22)</f>
        <v>3698500.8718</v>
      </c>
      <c r="D5" s="234">
        <f>SUMIF('21.BFR'!$F$3:$F$41,'1.Var.Fin'!D6,'21.BFR'!$G$3:$G$41)+SUMIF('7.Bud.Inv.'!$D$3:$D$22,'1.Var.Fin'!D6,'7.Bud.Inv.'!$Q$3:$Q$22)</f>
        <v>0</v>
      </c>
      <c r="E5" s="119"/>
    </row>
    <row r="6" spans="1:5">
      <c r="A6" s="119" t="s">
        <v>184</v>
      </c>
      <c r="B6" s="235" t="s">
        <v>185</v>
      </c>
      <c r="C6" s="235" t="s">
        <v>186</v>
      </c>
      <c r="D6" s="235" t="s">
        <v>187</v>
      </c>
      <c r="E6" s="119"/>
    </row>
    <row r="7" spans="1:5">
      <c r="A7" s="119" t="s">
        <v>188</v>
      </c>
      <c r="B7" s="236">
        <v>0.09</v>
      </c>
      <c r="C7" s="236">
        <v>0.11</v>
      </c>
      <c r="D7" s="236">
        <v>0.1</v>
      </c>
      <c r="E7" s="119"/>
    </row>
    <row r="8" spans="1:5">
      <c r="A8" s="119" t="s">
        <v>189</v>
      </c>
      <c r="B8" s="235">
        <v>36</v>
      </c>
      <c r="C8" s="235">
        <v>36</v>
      </c>
      <c r="D8" s="235">
        <v>36</v>
      </c>
      <c r="E8" s="119"/>
    </row>
    <row r="9" spans="1:5">
      <c r="A9" s="1" t="s">
        <v>190</v>
      </c>
      <c r="B9" s="236">
        <v>0.1</v>
      </c>
      <c r="C9" s="236">
        <v>1.1</v>
      </c>
      <c r="D9" s="236">
        <v>2.1</v>
      </c>
      <c r="E9" s="119"/>
    </row>
    <row r="10" spans="1:5">
      <c r="A10" s="1" t="s">
        <v>191</v>
      </c>
      <c r="B10" s="234"/>
    </row>
    <row r="11" spans="1:5">
      <c r="A11" s="1" t="s">
        <v>183</v>
      </c>
      <c r="B11" s="234">
        <f>SUMIF('21.BFR'!$F$3:$F$41,'1.Var.Fin'!B12,'21.BFR'!$G$3:$G$41)+SUMIF('7.Bud.Inv.'!$D$3:$D$22,'1.Var.Fin'!B12,'7.Bud.Inv.'!$Q$3:$Q$22)</f>
        <v>3698500.8718</v>
      </c>
      <c r="C11" s="234">
        <f>SUMIF('21.BFR'!$F$3:$F$41,'1.Var.Fin'!C12,'21.BFR'!$G$3:$G$41)+SUMIF('7.Bud.Inv.'!$D$3:$D$22,'1.Var.Fin'!C12,'7.Bud.Inv.'!$Q$3:$Q$22)</f>
        <v>0</v>
      </c>
      <c r="D11" s="234">
        <f>SUMIF('21.BFR'!$F$3:$F$41,'1.Var.Fin'!D12,'21.BFR'!$G$3:$G$41)+SUMIF('7.Bud.Inv.'!$D$3:$D$22,'1.Var.Fin'!D12,'7.Bud.Inv.'!$Q$3:$Q$22)</f>
        <v>0</v>
      </c>
      <c r="E11" s="119"/>
    </row>
    <row r="12" spans="1:5">
      <c r="A12" s="119" t="s">
        <v>184</v>
      </c>
      <c r="B12" s="235" t="s">
        <v>186</v>
      </c>
      <c r="C12" s="235" t="s">
        <v>187</v>
      </c>
      <c r="D12" s="235" t="s">
        <v>192</v>
      </c>
      <c r="E12" s="119"/>
    </row>
    <row r="13" spans="1:5">
      <c r="A13" s="119" t="s">
        <v>188</v>
      </c>
      <c r="B13" s="236">
        <v>0.14</v>
      </c>
      <c r="C13" s="236">
        <v>0.14</v>
      </c>
      <c r="D13" s="236">
        <v>0.14</v>
      </c>
      <c r="E13" s="119"/>
    </row>
    <row r="14" spans="1:5">
      <c r="A14" s="119" t="s">
        <v>189</v>
      </c>
      <c r="B14" s="235">
        <v>12</v>
      </c>
      <c r="C14" s="235">
        <v>12</v>
      </c>
      <c r="D14" s="235">
        <v>12</v>
      </c>
      <c r="E14" s="119"/>
    </row>
    <row r="15" spans="1:5">
      <c r="A15" s="1" t="s">
        <v>190</v>
      </c>
      <c r="B15" s="236">
        <v>0.1</v>
      </c>
      <c r="C15" s="236">
        <v>0.1</v>
      </c>
      <c r="D15" s="236">
        <v>0.1</v>
      </c>
      <c r="E15" s="119"/>
    </row>
    <row r="16" spans="1:5">
      <c r="A16" s="1" t="s">
        <v>193</v>
      </c>
      <c r="B16" s="234"/>
    </row>
    <row r="17" spans="1:5">
      <c r="A17" s="1" t="s">
        <v>183</v>
      </c>
      <c r="B17" s="234">
        <f>SUMIF('21.BFR'!$F$3:$F$41,'1.Var.Fin'!B18,'21.BFR'!$G$3:$G$41)+SUMIF('7.Bud.Inv.'!$D$3:$D$22,'1.Var.Fin'!B18,'7.Bud.Inv.'!$Q$3:$Q$22)</f>
        <v>0</v>
      </c>
      <c r="C17" s="234">
        <f>SUMIF('21.BFR'!$F$3:$F$41,'1.Var.Fin'!C18,'21.BFR'!$G$3:$G$41)+SUMIF('7.Bud.Inv.'!$D$3:$D$22,'1.Var.Fin'!C18,'7.Bud.Inv.'!$Q$3:$Q$22)</f>
        <v>0</v>
      </c>
      <c r="D17" s="234">
        <f>SUMIF('21.BFR'!$F$3:$F$41,'1.Var.Fin'!D18,'21.BFR'!$G$3:$G$41)+SUMIF('7.Bud.Inv.'!$D$3:$D$22,'1.Var.Fin'!D18,'7.Bud.Inv.'!$Q$3:$Q$22)</f>
        <v>0</v>
      </c>
      <c r="E17" s="119"/>
    </row>
    <row r="18" spans="1:5">
      <c r="A18" s="119" t="s">
        <v>184</v>
      </c>
      <c r="B18" s="235" t="s">
        <v>187</v>
      </c>
      <c r="C18" s="235" t="s">
        <v>187</v>
      </c>
      <c r="D18" s="235" t="s">
        <v>187</v>
      </c>
      <c r="E18" s="119"/>
    </row>
    <row r="19" spans="1:5">
      <c r="A19" s="119" t="s">
        <v>188</v>
      </c>
      <c r="B19" s="236">
        <v>0</v>
      </c>
      <c r="C19" s="236">
        <v>0</v>
      </c>
      <c r="D19" s="236">
        <v>0</v>
      </c>
      <c r="E19" s="119"/>
    </row>
    <row r="20" spans="1:5">
      <c r="A20" s="119" t="s">
        <v>189</v>
      </c>
      <c r="B20" s="235">
        <v>36</v>
      </c>
      <c r="C20" s="235">
        <v>36</v>
      </c>
      <c r="D20" s="235">
        <v>36</v>
      </c>
      <c r="E20" s="119"/>
    </row>
    <row r="21" spans="1:5">
      <c r="A21" s="1" t="s">
        <v>190</v>
      </c>
      <c r="B21" s="236">
        <v>0.1</v>
      </c>
      <c r="C21" s="236">
        <v>0.1</v>
      </c>
      <c r="D21" s="236">
        <v>0.1</v>
      </c>
      <c r="E21" s="119"/>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portrait" scale="100" fitToHeight="1" fitToWidth="1" pageOrder="downThenOver" r:id="rId1"/>
  <headerFooter differentOddEven="false" differentFirst="false" scaleWithDoc="true" alignWithMargins="true">
    <oddHeader/>
    <oddFooter/>
    <evenHeader/>
    <evenFooter/>
    <firstHeader/>
    <firstFooter/>
  </headerFooter>
  <drawing r:id="rId2"/>
  <legacyDrawing r:id="rId_comments_vml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0070C0"/>
    <outlinePr summaryBelow="1" summaryRight="1"/>
  </sheetPr>
  <dimension ref="A1:H59"/>
  <sheetViews>
    <sheetView tabSelected="0" workbookViewId="0" showGridLines="true" showRowColHeaders="1">
      <selection activeCell="A10" sqref="A10"/>
    </sheetView>
  </sheetViews>
  <sheetFormatPr defaultRowHeight="14.4" outlineLevelRow="0" outlineLevelCol="0"/>
  <cols>
    <col min="2" max="2" width="11.6640625" customWidth="true" style="0"/>
    <col min="3" max="3" width="8.5" customWidth="true" style="0"/>
    <col min="4" max="4" width="5.5" customWidth="true" style="0"/>
    <col min="5" max="5" width="13.6640625" customWidth="true" style="0"/>
    <col min="6" max="6" width="10.1640625" customWidth="true" style="0"/>
    <col min="8" max="8" width="11.6640625" customWidth="true" style="0"/>
  </cols>
  <sheetData>
    <row r="1" spans="1:8">
      <c r="A1" s="124" t="s">
        <v>194</v>
      </c>
    </row>
    <row r="2" spans="1:8">
      <c r="A2" s="124"/>
    </row>
    <row r="3" spans="1:8">
      <c r="A3" s="25" t="s">
        <v>61</v>
      </c>
    </row>
    <row r="4" spans="1:8">
      <c r="A4" s="14" t="s">
        <v>195</v>
      </c>
      <c r="B4" s="19">
        <f>'1.Var.Fin'!B11</f>
        <v>3698500.8718</v>
      </c>
      <c r="C4" s="14"/>
      <c r="D4" s="14"/>
      <c r="E4" s="14"/>
      <c r="F4" s="15"/>
    </row>
    <row r="5" spans="1:8">
      <c r="A5" s="14" t="s">
        <v>196</v>
      </c>
      <c r="B5" s="20">
        <f>+'1.Var.Fin'!B13</f>
        <v>0.14</v>
      </c>
      <c r="C5" s="14"/>
      <c r="D5" s="14"/>
      <c r="E5" s="14"/>
      <c r="F5" s="14"/>
    </row>
    <row r="6" spans="1:8">
      <c r="A6" s="14" t="s">
        <v>197</v>
      </c>
      <c r="B6" s="16">
        <f>B5/12</f>
        <v>0.011666666666667</v>
      </c>
      <c r="C6" s="14"/>
      <c r="D6" s="14"/>
      <c r="E6" s="14"/>
      <c r="F6" s="14"/>
    </row>
    <row r="7" spans="1:8">
      <c r="A7" s="14" t="s">
        <v>190</v>
      </c>
      <c r="B7" s="17">
        <f>'1.Var.Fin'!B9</f>
        <v>0.1</v>
      </c>
      <c r="C7" s="14"/>
      <c r="D7" s="14"/>
      <c r="E7" s="14" t="s">
        <v>156</v>
      </c>
      <c r="F7" s="14"/>
    </row>
    <row r="8" spans="1:8">
      <c r="A8" s="14" t="s">
        <v>198</v>
      </c>
      <c r="B8" s="18">
        <f>'1.Var.Fin'!B14</f>
        <v>12</v>
      </c>
      <c r="C8" s="14" t="s">
        <v>148</v>
      </c>
      <c r="D8" s="14"/>
      <c r="E8" s="14"/>
      <c r="F8" s="14"/>
    </row>
    <row r="9" spans="1:8" customHeight="1" ht="28">
      <c r="A9" s="21" t="s">
        <v>199</v>
      </c>
      <c r="B9" s="21" t="s">
        <v>200</v>
      </c>
      <c r="C9" s="21" t="s">
        <v>201</v>
      </c>
      <c r="D9" s="21" t="s">
        <v>202</v>
      </c>
      <c r="E9" s="21" t="s">
        <v>135</v>
      </c>
      <c r="F9" s="21" t="s">
        <v>72</v>
      </c>
      <c r="G9" s="21" t="s">
        <v>203</v>
      </c>
    </row>
    <row r="10" spans="1:8">
      <c r="A10" s="22">
        <v>1</v>
      </c>
      <c r="B10" s="22">
        <f>B4</f>
        <v>3698500.8718</v>
      </c>
      <c r="C10" s="22">
        <f>B10*$B$6</f>
        <v>43149.176837667</v>
      </c>
      <c r="D10" s="22">
        <f>C10*$B$7</f>
        <v>4314.9176837667</v>
      </c>
      <c r="E10" s="22">
        <f>IFERROR(F10-C10,"")</f>
        <v>288928.55592455</v>
      </c>
      <c r="F10" s="22">
        <f>IF(B10&gt;1,IFERROR(($B$4*$B$6/((1-(1+$B$6)^(-$B$8)))),""),0)</f>
        <v>332077.73276222</v>
      </c>
      <c r="G10" s="22" t="s">
        <v>144</v>
      </c>
    </row>
    <row r="11" spans="1:8">
      <c r="A11" s="22">
        <v>2</v>
      </c>
      <c r="B11" s="22">
        <f>IFERROR(B10-E10, "")</f>
        <v>3409572.3158754</v>
      </c>
      <c r="C11" s="22">
        <f>B11*$B$6</f>
        <v>39778.343685214</v>
      </c>
      <c r="D11" s="22">
        <f>C11*$B$7</f>
        <v>3977.8343685214</v>
      </c>
      <c r="E11" s="22">
        <f>IFERROR(F11-C11,"")</f>
        <v>292299.38907701</v>
      </c>
      <c r="F11" s="22">
        <f>IF(B11&gt;1,IFERROR(($B$4*$B$6/((1-(1+$B$6)^(-$B$8)))),""),0)</f>
        <v>332077.73276222</v>
      </c>
      <c r="G11" s="22" t="s">
        <v>144</v>
      </c>
    </row>
    <row r="12" spans="1:8">
      <c r="A12" s="22">
        <v>3</v>
      </c>
      <c r="B12" s="22">
        <f>IFERROR(B11-E11, "")</f>
        <v>3117272.9267984</v>
      </c>
      <c r="C12" s="22">
        <f>B12*$B$6</f>
        <v>36368.184145982</v>
      </c>
      <c r="D12" s="22">
        <f>C12*$B$7</f>
        <v>3636.8184145982</v>
      </c>
      <c r="E12" s="22">
        <f>IFERROR(F12-C12,"")</f>
        <v>295709.54861624</v>
      </c>
      <c r="F12" s="22">
        <f>IF(B12&gt;1,IFERROR(($B$4*$B$6/((1-(1+$B$6)^(-$B$8)))),""),0)</f>
        <v>332077.73276222</v>
      </c>
      <c r="G12" s="22" t="s">
        <v>144</v>
      </c>
    </row>
    <row r="13" spans="1:8">
      <c r="A13" s="22">
        <v>4</v>
      </c>
      <c r="B13" s="22">
        <f>IFERROR(B12-E12, "")</f>
        <v>2821563.3781822</v>
      </c>
      <c r="C13" s="22">
        <f>B13*$B$6</f>
        <v>32918.239412126</v>
      </c>
      <c r="D13" s="22">
        <f>C13*$B$7</f>
        <v>3291.8239412126</v>
      </c>
      <c r="E13" s="22">
        <f>IFERROR(F13-C13,"")</f>
        <v>299159.4933501</v>
      </c>
      <c r="F13" s="22">
        <f>IF(B13&gt;1,IFERROR(($B$4*$B$6/((1-(1+$B$6)^(-$B$8)))),""),0)</f>
        <v>332077.73276222</v>
      </c>
      <c r="G13" s="22" t="s">
        <v>144</v>
      </c>
    </row>
    <row r="14" spans="1:8">
      <c r="A14" s="22">
        <v>5</v>
      </c>
      <c r="B14" s="22">
        <f>IFERROR(B13-E13, "")</f>
        <v>2522403.8848321</v>
      </c>
      <c r="C14" s="22">
        <f>B14*$B$6</f>
        <v>29428.045323041</v>
      </c>
      <c r="D14" s="22">
        <f>C14*$B$7</f>
        <v>2942.8045323041</v>
      </c>
      <c r="E14" s="22">
        <f>IFERROR(F14-C14,"")</f>
        <v>302649.68743918</v>
      </c>
      <c r="F14" s="22">
        <f>IF(B14&gt;1,IFERROR(($B$4*$B$6/((1-(1+$B$6)^(-$B$8)))),""),0)</f>
        <v>332077.73276222</v>
      </c>
      <c r="G14" s="22" t="s">
        <v>144</v>
      </c>
    </row>
    <row r="15" spans="1:8">
      <c r="A15" s="22">
        <v>6</v>
      </c>
      <c r="B15" s="22">
        <f>IFERROR(B14-E14, "")</f>
        <v>2219754.1973929</v>
      </c>
      <c r="C15" s="22">
        <f>B15*$B$6</f>
        <v>25897.132302917</v>
      </c>
      <c r="D15" s="22">
        <f>C15*$B$7</f>
        <v>2589.7132302917</v>
      </c>
      <c r="E15" s="22">
        <f>IFERROR(F15-C15,"")</f>
        <v>306180.6004593</v>
      </c>
      <c r="F15" s="22">
        <f>IF(B15&gt;1,IFERROR(($B$4*$B$6/((1-(1+$B$6)^(-$B$8)))),""),0)</f>
        <v>332077.73276222</v>
      </c>
      <c r="G15" s="22" t="s">
        <v>144</v>
      </c>
    </row>
    <row r="16" spans="1:8">
      <c r="A16" s="22">
        <v>7</v>
      </c>
      <c r="B16" s="22">
        <f>IFERROR(B15-E15, "")</f>
        <v>1913573.5969336</v>
      </c>
      <c r="C16" s="22">
        <f>B16*$B$6</f>
        <v>22325.025297559</v>
      </c>
      <c r="D16" s="22">
        <f>C16*$B$7</f>
        <v>2232.5025297559</v>
      </c>
      <c r="E16" s="22">
        <f>IFERROR(F16-C16,"")</f>
        <v>309752.70746466</v>
      </c>
      <c r="F16" s="22">
        <f>IF(B16&gt;1,IFERROR(($B$4*$B$6/((1-(1+$B$6)^(-$B$8)))),""),0)</f>
        <v>332077.73276222</v>
      </c>
      <c r="G16" s="22" t="s">
        <v>144</v>
      </c>
    </row>
    <row r="17" spans="1:8">
      <c r="A17" s="22">
        <v>8</v>
      </c>
      <c r="B17" s="22">
        <f>IFERROR(B16-E16, "")</f>
        <v>1603820.889469</v>
      </c>
      <c r="C17" s="22">
        <f>B17*$B$6</f>
        <v>18711.243710471</v>
      </c>
      <c r="D17" s="22">
        <f>C17*$B$7</f>
        <v>1871.1243710471</v>
      </c>
      <c r="E17" s="22">
        <f>IFERROR(F17-C17,"")</f>
        <v>313366.48905175</v>
      </c>
      <c r="F17" s="22">
        <f>IF(B17&gt;1,IFERROR(($B$4*$B$6/((1-(1+$B$6)^(-$B$8)))),""),0)</f>
        <v>332077.73276222</v>
      </c>
      <c r="G17" s="22" t="s">
        <v>144</v>
      </c>
    </row>
    <row r="18" spans="1:8">
      <c r="A18" s="22">
        <v>9</v>
      </c>
      <c r="B18" s="22">
        <f>IFERROR(B17-E17, "")</f>
        <v>1290454.4004172</v>
      </c>
      <c r="C18" s="22">
        <f>B18*$B$6</f>
        <v>15055.301338201</v>
      </c>
      <c r="D18" s="22">
        <f>C18*$B$7</f>
        <v>1505.5301338201</v>
      </c>
      <c r="E18" s="22">
        <f>IFERROR(F18-C18,"")</f>
        <v>317022.43142402</v>
      </c>
      <c r="F18" s="22">
        <f>IF(B18&gt;1,IFERROR(($B$4*$B$6/((1-(1+$B$6)^(-$B$8)))),""),0)</f>
        <v>332077.73276222</v>
      </c>
      <c r="G18" s="22" t="s">
        <v>144</v>
      </c>
    </row>
    <row r="19" spans="1:8">
      <c r="A19" s="22">
        <v>10</v>
      </c>
      <c r="B19" s="22">
        <f>IFERROR(B18-E18, "")</f>
        <v>973431.96899319</v>
      </c>
      <c r="C19" s="22">
        <f>B19*$B$6</f>
        <v>11356.706304921</v>
      </c>
      <c r="D19" s="22">
        <f>C19*$B$7</f>
        <v>1135.6706304921</v>
      </c>
      <c r="E19" s="22">
        <f>IFERROR(F19-C19,"")</f>
        <v>320721.0264573</v>
      </c>
      <c r="F19" s="22">
        <f>IF(B19&gt;1,IFERROR(($B$4*$B$6/((1-(1+$B$6)^(-$B$8)))),""),0)</f>
        <v>332077.73276222</v>
      </c>
      <c r="G19" s="22" t="s">
        <v>144</v>
      </c>
    </row>
    <row r="20" spans="1:8">
      <c r="A20" s="22">
        <v>11</v>
      </c>
      <c r="B20" s="22">
        <f>IFERROR(B19-E19, "")</f>
        <v>652710.94253589</v>
      </c>
      <c r="C20" s="22">
        <f>B20*$B$6</f>
        <v>7614.960996252</v>
      </c>
      <c r="D20" s="22">
        <f>C20*$B$7</f>
        <v>761.4960996252</v>
      </c>
      <c r="E20" s="22">
        <f>IFERROR(F20-C20,"")</f>
        <v>324462.77176597</v>
      </c>
      <c r="F20" s="22">
        <f>IF(B20&gt;1,IFERROR(($B$4*$B$6/((1-(1+$B$6)^(-$B$8)))),""),0)</f>
        <v>332077.73276222</v>
      </c>
      <c r="G20" s="22" t="s">
        <v>144</v>
      </c>
    </row>
    <row r="21" spans="1:8">
      <c r="A21" s="22">
        <v>12</v>
      </c>
      <c r="B21" s="22">
        <f>IFERROR(B20-E20, "")</f>
        <v>328248.17076992</v>
      </c>
      <c r="C21" s="22">
        <f>B21*$B$6</f>
        <v>3829.5619923157</v>
      </c>
      <c r="D21" s="22">
        <f>C21*$B$7</f>
        <v>382.95619923157</v>
      </c>
      <c r="E21" s="22">
        <f>IFERROR(F21-C21,"")</f>
        <v>328248.17076991</v>
      </c>
      <c r="F21" s="22">
        <f>IF(B21&gt;1,IFERROR(($B$4*$B$6/((1-(1+$B$6)^(-$B$8)))),""),0)</f>
        <v>332077.73276222</v>
      </c>
      <c r="G21" s="22" t="s">
        <v>144</v>
      </c>
    </row>
    <row r="22" spans="1:8">
      <c r="A22" s="25" t="s">
        <v>62</v>
      </c>
    </row>
    <row r="23" spans="1:8">
      <c r="A23" s="14" t="s">
        <v>195</v>
      </c>
      <c r="B23" s="19">
        <f>'1.Var.Fin'!C11</f>
        <v>0</v>
      </c>
      <c r="C23" s="14"/>
      <c r="D23" s="14"/>
      <c r="E23" s="14"/>
      <c r="F23" s="15"/>
    </row>
    <row r="24" spans="1:8">
      <c r="A24" s="14" t="s">
        <v>196</v>
      </c>
      <c r="B24" s="20">
        <f>+'1.Var.Fin'!C13</f>
        <v>0.14</v>
      </c>
      <c r="C24" s="14"/>
      <c r="D24" s="14"/>
      <c r="E24" s="14"/>
      <c r="F24" s="14"/>
    </row>
    <row r="25" spans="1:8">
      <c r="A25" s="14" t="s">
        <v>197</v>
      </c>
      <c r="B25" s="16">
        <f>B24/12</f>
        <v>0.011666666666667</v>
      </c>
      <c r="C25" s="14"/>
      <c r="D25" s="14"/>
      <c r="E25" s="14"/>
      <c r="F25" s="14"/>
    </row>
    <row r="26" spans="1:8">
      <c r="A26" s="14" t="s">
        <v>190</v>
      </c>
      <c r="B26" s="17">
        <f>'1.Var.Fin'!C9</f>
        <v>1.1</v>
      </c>
      <c r="C26" s="14"/>
      <c r="D26" s="14"/>
      <c r="E26" s="14" t="s">
        <v>156</v>
      </c>
      <c r="F26" s="14"/>
    </row>
    <row r="27" spans="1:8">
      <c r="A27" s="14" t="s">
        <v>198</v>
      </c>
      <c r="B27" s="18">
        <f>'1.Var.Fin'!C14</f>
        <v>12</v>
      </c>
      <c r="C27" s="14" t="s">
        <v>148</v>
      </c>
      <c r="D27" s="14"/>
      <c r="E27" s="14"/>
      <c r="F27" s="14"/>
    </row>
    <row r="28" spans="1:8" customHeight="1" ht="28">
      <c r="A28" s="21" t="s">
        <v>199</v>
      </c>
      <c r="B28" s="21" t="s">
        <v>200</v>
      </c>
      <c r="C28" s="21" t="s">
        <v>201</v>
      </c>
      <c r="D28" s="21" t="s">
        <v>202</v>
      </c>
      <c r="E28" s="21" t="s">
        <v>135</v>
      </c>
      <c r="F28" s="21" t="s">
        <v>72</v>
      </c>
      <c r="G28" s="21" t="s">
        <v>203</v>
      </c>
    </row>
    <row r="29" spans="1:8">
      <c r="A29" s="22">
        <v>1</v>
      </c>
      <c r="B29" s="22">
        <f>H23</f>
        <v>0</v>
      </c>
      <c r="C29" s="22">
        <f>B29*$B$6</f>
        <v>0</v>
      </c>
      <c r="D29" s="22">
        <f>C29*$B$7</f>
        <v>0</v>
      </c>
      <c r="E29" s="22">
        <f>IFERROR(F29-C29,"")</f>
        <v>0</v>
      </c>
      <c r="F29" s="22">
        <f>IF(B29&gt;1,IFERROR(($B$4*$B$6/((1-(1+$B$6)^(-$B$8)))),""),0)</f>
        <v>0</v>
      </c>
      <c r="G29" s="22" t="s">
        <v>88</v>
      </c>
    </row>
    <row r="30" spans="1:8">
      <c r="A30" s="22">
        <v>2</v>
      </c>
      <c r="B30" s="22">
        <f>IFERROR(B29-E29, "")</f>
        <v>0</v>
      </c>
      <c r="C30" s="22">
        <f>B30*$B$6</f>
        <v>0</v>
      </c>
      <c r="D30" s="22">
        <f>C30*$B$7</f>
        <v>0</v>
      </c>
      <c r="E30" s="22">
        <f>IFERROR(F30-C30,"")</f>
        <v>0</v>
      </c>
      <c r="F30" s="22">
        <f>IF(B30&gt;1,IFERROR(($B$4*$B$6/((1-(1+$B$6)^(-$B$8)))),""),0)</f>
        <v>0</v>
      </c>
      <c r="G30" s="22" t="s">
        <v>88</v>
      </c>
    </row>
    <row r="31" spans="1:8">
      <c r="A31" s="22">
        <v>3</v>
      </c>
      <c r="B31" s="22">
        <f>IFERROR(B30-E30, "")</f>
        <v>0</v>
      </c>
      <c r="C31" s="22">
        <f>B31*$B$6</f>
        <v>0</v>
      </c>
      <c r="D31" s="22">
        <f>C31*$B$7</f>
        <v>0</v>
      </c>
      <c r="E31" s="22">
        <f>IFERROR(F31-C31,"")</f>
        <v>0</v>
      </c>
      <c r="F31" s="22">
        <f>IF(B31&gt;1,IFERROR(($B$4*$B$6/((1-(1+$B$6)^(-$B$8)))),""),0)</f>
        <v>0</v>
      </c>
      <c r="G31" s="22" t="s">
        <v>88</v>
      </c>
    </row>
    <row r="32" spans="1:8">
      <c r="A32" s="22">
        <v>4</v>
      </c>
      <c r="B32" s="22">
        <f>IFERROR(B31-E31, "")</f>
        <v>0</v>
      </c>
      <c r="C32" s="22">
        <f>B32*$B$6</f>
        <v>0</v>
      </c>
      <c r="D32" s="22">
        <f>C32*$B$7</f>
        <v>0</v>
      </c>
      <c r="E32" s="22">
        <f>IFERROR(F32-C32,"")</f>
        <v>0</v>
      </c>
      <c r="F32" s="22">
        <f>IF(B32&gt;1,IFERROR(($B$4*$B$6/((1-(1+$B$6)^(-$B$8)))),""),0)</f>
        <v>0</v>
      </c>
      <c r="G32" s="22" t="s">
        <v>88</v>
      </c>
    </row>
    <row r="33" spans="1:8">
      <c r="A33" s="22">
        <v>5</v>
      </c>
      <c r="B33" s="22">
        <f>IFERROR(B32-E32, "")</f>
        <v>0</v>
      </c>
      <c r="C33" s="22">
        <f>B33*$B$6</f>
        <v>0</v>
      </c>
      <c r="D33" s="22">
        <f>C33*$B$7</f>
        <v>0</v>
      </c>
      <c r="E33" s="22">
        <f>IFERROR(F33-C33,"")</f>
        <v>0</v>
      </c>
      <c r="F33" s="22">
        <f>IF(B33&gt;1,IFERROR(($B$4*$B$6/((1-(1+$B$6)^(-$B$8)))),""),0)</f>
        <v>0</v>
      </c>
      <c r="G33" s="22" t="s">
        <v>88</v>
      </c>
    </row>
    <row r="34" spans="1:8">
      <c r="A34" s="22">
        <v>6</v>
      </c>
      <c r="B34" s="22">
        <f>IFERROR(B33-E33, "")</f>
        <v>0</v>
      </c>
      <c r="C34" s="22">
        <f>B34*$B$6</f>
        <v>0</v>
      </c>
      <c r="D34" s="22">
        <f>C34*$B$7</f>
        <v>0</v>
      </c>
      <c r="E34" s="22">
        <f>IFERROR(F34-C34,"")</f>
        <v>0</v>
      </c>
      <c r="F34" s="22">
        <f>IF(B34&gt;1,IFERROR(($B$4*$B$6/((1-(1+$B$6)^(-$B$8)))),""),0)</f>
        <v>0</v>
      </c>
      <c r="G34" s="22" t="s">
        <v>88</v>
      </c>
    </row>
    <row r="35" spans="1:8">
      <c r="A35" s="22">
        <v>7</v>
      </c>
      <c r="B35" s="22">
        <f>IFERROR(B34-E34, "")</f>
        <v>0</v>
      </c>
      <c r="C35" s="22">
        <f>B35*$B$6</f>
        <v>0</v>
      </c>
      <c r="D35" s="22">
        <f>C35*$B$7</f>
        <v>0</v>
      </c>
      <c r="E35" s="22">
        <f>IFERROR(F35-C35,"")</f>
        <v>0</v>
      </c>
      <c r="F35" s="22">
        <f>IF(B35&gt;1,IFERROR(($B$4*$B$6/((1-(1+$B$6)^(-$B$8)))),""),0)</f>
        <v>0</v>
      </c>
      <c r="G35" s="22" t="s">
        <v>88</v>
      </c>
    </row>
    <row r="36" spans="1:8">
      <c r="A36" s="22">
        <v>8</v>
      </c>
      <c r="B36" s="22">
        <f>IFERROR(B35-E35, "")</f>
        <v>0</v>
      </c>
      <c r="C36" s="22">
        <f>B36*$B$6</f>
        <v>0</v>
      </c>
      <c r="D36" s="22">
        <f>C36*$B$7</f>
        <v>0</v>
      </c>
      <c r="E36" s="22">
        <f>IFERROR(F36-C36,"")</f>
        <v>0</v>
      </c>
      <c r="F36" s="22">
        <f>IF(B36&gt;1,IFERROR(($B$4*$B$6/((1-(1+$B$6)^(-$B$8)))),""),0)</f>
        <v>0</v>
      </c>
      <c r="G36" s="22" t="s">
        <v>88</v>
      </c>
    </row>
    <row r="37" spans="1:8">
      <c r="A37" s="22">
        <v>9</v>
      </c>
      <c r="B37" s="22">
        <f>IFERROR(B36-E36, "")</f>
        <v>0</v>
      </c>
      <c r="C37" s="22">
        <f>B37*$B$6</f>
        <v>0</v>
      </c>
      <c r="D37" s="22">
        <f>C37*$B$7</f>
        <v>0</v>
      </c>
      <c r="E37" s="22">
        <f>IFERROR(F37-C37,"")</f>
        <v>0</v>
      </c>
      <c r="F37" s="22">
        <f>IF(B37&gt;1,IFERROR(($B$4*$B$6/((1-(1+$B$6)^(-$B$8)))),""),0)</f>
        <v>0</v>
      </c>
      <c r="G37" s="22" t="s">
        <v>88</v>
      </c>
    </row>
    <row r="38" spans="1:8">
      <c r="A38" s="22">
        <v>10</v>
      </c>
      <c r="B38" s="22">
        <f>IFERROR(B37-E37, "")</f>
        <v>0</v>
      </c>
      <c r="C38" s="22">
        <f>B38*$B$6</f>
        <v>0</v>
      </c>
      <c r="D38" s="22">
        <f>C38*$B$7</f>
        <v>0</v>
      </c>
      <c r="E38" s="22">
        <f>IFERROR(F38-C38,"")</f>
        <v>0</v>
      </c>
      <c r="F38" s="22">
        <f>IF(B38&gt;1,IFERROR(($B$4*$B$6/((1-(1+$B$6)^(-$B$8)))),""),0)</f>
        <v>0</v>
      </c>
      <c r="G38" s="22" t="s">
        <v>88</v>
      </c>
    </row>
    <row r="39" spans="1:8">
      <c r="A39" s="22">
        <v>11</v>
      </c>
      <c r="B39" s="22">
        <f>IFERROR(B38-E38, "")</f>
        <v>0</v>
      </c>
      <c r="C39" s="22">
        <f>B39*$B$6</f>
        <v>0</v>
      </c>
      <c r="D39" s="22">
        <f>C39*$B$7</f>
        <v>0</v>
      </c>
      <c r="E39" s="22">
        <f>IFERROR(F39-C39,"")</f>
        <v>0</v>
      </c>
      <c r="F39" s="22">
        <f>IF(B39&gt;1,IFERROR(($B$4*$B$6/((1-(1+$B$6)^(-$B$8)))),""),0)</f>
        <v>0</v>
      </c>
      <c r="G39" s="22" t="s">
        <v>88</v>
      </c>
    </row>
    <row r="40" spans="1:8">
      <c r="A40" s="22">
        <v>12</v>
      </c>
      <c r="B40" s="22">
        <f>IFERROR(B39-E39, "")</f>
        <v>0</v>
      </c>
      <c r="C40" s="22">
        <f>B40*$B$6</f>
        <v>0</v>
      </c>
      <c r="D40" s="22">
        <f>C40*$B$7</f>
        <v>0</v>
      </c>
      <c r="E40" s="22">
        <f>IFERROR(F40-C40,"")</f>
        <v>0</v>
      </c>
      <c r="F40" s="22">
        <f>IF(B40&gt;1,IFERROR(($B$4*$B$6/((1-(1+$B$6)^(-$B$8)))),""),0)</f>
        <v>0</v>
      </c>
      <c r="G40" s="22" t="s">
        <v>88</v>
      </c>
    </row>
    <row r="41" spans="1:8">
      <c r="A41" s="25" t="s">
        <v>63</v>
      </c>
    </row>
    <row r="42" spans="1:8">
      <c r="A42" s="14" t="s">
        <v>195</v>
      </c>
      <c r="B42" s="19">
        <f>'1.Var.Fin'!D11</f>
        <v>0</v>
      </c>
      <c r="C42" s="14"/>
      <c r="D42" s="14"/>
      <c r="E42" s="14"/>
      <c r="F42" s="15"/>
    </row>
    <row r="43" spans="1:8">
      <c r="A43" s="14" t="s">
        <v>196</v>
      </c>
      <c r="B43" s="20">
        <f>+'1.Var.Fin'!D13</f>
        <v>0.14</v>
      </c>
      <c r="C43" s="14"/>
      <c r="D43" s="14"/>
      <c r="E43" s="14"/>
      <c r="F43" s="14"/>
    </row>
    <row r="44" spans="1:8">
      <c r="A44" s="14" t="s">
        <v>197</v>
      </c>
      <c r="B44" s="16">
        <f>B43/12</f>
        <v>0.011666666666667</v>
      </c>
      <c r="C44" s="14"/>
      <c r="D44" s="14"/>
      <c r="E44" s="14"/>
      <c r="F44" s="14"/>
    </row>
    <row r="45" spans="1:8">
      <c r="A45" s="14" t="s">
        <v>190</v>
      </c>
      <c r="B45" s="17">
        <f>'1.Var.Fin'!D9</f>
        <v>2.1</v>
      </c>
      <c r="C45" s="14"/>
      <c r="D45" s="14"/>
      <c r="E45" s="14" t="s">
        <v>156</v>
      </c>
      <c r="F45" s="14"/>
    </row>
    <row r="46" spans="1:8">
      <c r="A46" s="14" t="s">
        <v>198</v>
      </c>
      <c r="B46" s="18">
        <f>'1.Var.Fin'!D14</f>
        <v>12</v>
      </c>
      <c r="C46" s="14" t="s">
        <v>148</v>
      </c>
      <c r="D46" s="14"/>
      <c r="E46" s="14"/>
      <c r="F46" s="14"/>
    </row>
    <row r="47" spans="1:8" customHeight="1" ht="28">
      <c r="A47" s="21" t="s">
        <v>199</v>
      </c>
      <c r="B47" s="21" t="s">
        <v>200</v>
      </c>
      <c r="C47" s="21" t="s">
        <v>201</v>
      </c>
      <c r="D47" s="21" t="s">
        <v>202</v>
      </c>
      <c r="E47" s="21" t="s">
        <v>135</v>
      </c>
      <c r="F47" s="21" t="s">
        <v>72</v>
      </c>
      <c r="G47" s="21" t="s">
        <v>203</v>
      </c>
    </row>
    <row r="48" spans="1:8">
      <c r="A48" s="22">
        <v>1</v>
      </c>
      <c r="B48" s="22">
        <f>H42</f>
        <v>0</v>
      </c>
      <c r="C48" s="22">
        <f>B48*$B$6</f>
        <v>0</v>
      </c>
      <c r="D48" s="22">
        <f>C48*$B$7</f>
        <v>0</v>
      </c>
      <c r="E48" s="22">
        <f>IFERROR(F48-C48,"")</f>
        <v>0</v>
      </c>
      <c r="F48" s="22">
        <f>IF(B48&gt;1,IFERROR(($B$4*$B$6/((1-(1+$B$6)^(-$B$8)))),""),0)</f>
        <v>0</v>
      </c>
      <c r="G48" s="22" t="s">
        <v>89</v>
      </c>
    </row>
    <row r="49" spans="1:8">
      <c r="A49" s="22">
        <v>2</v>
      </c>
      <c r="B49" s="22">
        <f>IFERROR(B48-E48, "")</f>
        <v>0</v>
      </c>
      <c r="C49" s="22">
        <f>B49*$B$6</f>
        <v>0</v>
      </c>
      <c r="D49" s="22">
        <f>C49*$B$7</f>
        <v>0</v>
      </c>
      <c r="E49" s="22">
        <f>IFERROR(F49-C49,"")</f>
        <v>0</v>
      </c>
      <c r="F49" s="22">
        <f>IF(B49&gt;1,IFERROR(($B$4*$B$6/((1-(1+$B$6)^(-$B$8)))),""),0)</f>
        <v>0</v>
      </c>
      <c r="G49" s="22" t="s">
        <v>89</v>
      </c>
    </row>
    <row r="50" spans="1:8">
      <c r="A50" s="22">
        <v>3</v>
      </c>
      <c r="B50" s="22">
        <f>IFERROR(B49-E49, "")</f>
        <v>0</v>
      </c>
      <c r="C50" s="22">
        <f>B50*$B$6</f>
        <v>0</v>
      </c>
      <c r="D50" s="22">
        <f>C50*$B$7</f>
        <v>0</v>
      </c>
      <c r="E50" s="22">
        <f>IFERROR(F50-C50,"")</f>
        <v>0</v>
      </c>
      <c r="F50" s="22">
        <f>IF(B50&gt;1,IFERROR(($B$4*$B$6/((1-(1+$B$6)^(-$B$8)))),""),0)</f>
        <v>0</v>
      </c>
      <c r="G50" s="22" t="s">
        <v>89</v>
      </c>
    </row>
    <row r="51" spans="1:8">
      <c r="A51" s="22">
        <v>4</v>
      </c>
      <c r="B51" s="22">
        <f>IFERROR(B50-E50, "")</f>
        <v>0</v>
      </c>
      <c r="C51" s="22">
        <f>B51*$B$6</f>
        <v>0</v>
      </c>
      <c r="D51" s="22">
        <f>C51*$B$7</f>
        <v>0</v>
      </c>
      <c r="E51" s="22">
        <f>IFERROR(F51-C51,"")</f>
        <v>0</v>
      </c>
      <c r="F51" s="22">
        <f>IF(B51&gt;1,IFERROR(($B$4*$B$6/((1-(1+$B$6)^(-$B$8)))),""),0)</f>
        <v>0</v>
      </c>
      <c r="G51" s="22" t="s">
        <v>89</v>
      </c>
    </row>
    <row r="52" spans="1:8">
      <c r="A52" s="22">
        <v>5</v>
      </c>
      <c r="B52" s="22">
        <f>IFERROR(B51-E51, "")</f>
        <v>0</v>
      </c>
      <c r="C52" s="22">
        <f>B52*$B$6</f>
        <v>0</v>
      </c>
      <c r="D52" s="22">
        <f>C52*$B$7</f>
        <v>0</v>
      </c>
      <c r="E52" s="22">
        <f>IFERROR(F52-C52,"")</f>
        <v>0</v>
      </c>
      <c r="F52" s="22">
        <f>IF(B52&gt;1,IFERROR(($B$4*$B$6/((1-(1+$B$6)^(-$B$8)))),""),0)</f>
        <v>0</v>
      </c>
      <c r="G52" s="22" t="s">
        <v>89</v>
      </c>
    </row>
    <row r="53" spans="1:8">
      <c r="A53" s="22">
        <v>6</v>
      </c>
      <c r="B53" s="22">
        <f>IFERROR(B52-E52, "")</f>
        <v>0</v>
      </c>
      <c r="C53" s="22">
        <f>B53*$B$6</f>
        <v>0</v>
      </c>
      <c r="D53" s="22">
        <f>C53*$B$7</f>
        <v>0</v>
      </c>
      <c r="E53" s="22">
        <f>IFERROR(F53-C53,"")</f>
        <v>0</v>
      </c>
      <c r="F53" s="22">
        <f>IF(B53&gt;1,IFERROR(($B$4*$B$6/((1-(1+$B$6)^(-$B$8)))),""),0)</f>
        <v>0</v>
      </c>
      <c r="G53" s="22" t="s">
        <v>89</v>
      </c>
    </row>
    <row r="54" spans="1:8">
      <c r="A54" s="22">
        <v>7</v>
      </c>
      <c r="B54" s="22">
        <f>IFERROR(B53-E53, "")</f>
        <v>0</v>
      </c>
      <c r="C54" s="22">
        <f>B54*$B$6</f>
        <v>0</v>
      </c>
      <c r="D54" s="22">
        <f>C54*$B$7</f>
        <v>0</v>
      </c>
      <c r="E54" s="22">
        <f>IFERROR(F54-C54,"")</f>
        <v>0</v>
      </c>
      <c r="F54" s="22">
        <f>IF(B54&gt;1,IFERROR(($B$4*$B$6/((1-(1+$B$6)^(-$B$8)))),""),0)</f>
        <v>0</v>
      </c>
      <c r="G54" s="22" t="s">
        <v>89</v>
      </c>
    </row>
    <row r="55" spans="1:8">
      <c r="A55" s="22">
        <v>8</v>
      </c>
      <c r="B55" s="22">
        <f>IFERROR(B54-E54, "")</f>
        <v>0</v>
      </c>
      <c r="C55" s="22">
        <f>B55*$B$6</f>
        <v>0</v>
      </c>
      <c r="D55" s="22">
        <f>C55*$B$7</f>
        <v>0</v>
      </c>
      <c r="E55" s="22">
        <f>IFERROR(F55-C55,"")</f>
        <v>0</v>
      </c>
      <c r="F55" s="22">
        <f>IF(B55&gt;1,IFERROR(($B$4*$B$6/((1-(1+$B$6)^(-$B$8)))),""),0)</f>
        <v>0</v>
      </c>
      <c r="G55" s="22" t="s">
        <v>89</v>
      </c>
    </row>
    <row r="56" spans="1:8">
      <c r="A56" s="22">
        <v>9</v>
      </c>
      <c r="B56" s="22">
        <f>IFERROR(B55-E55, "")</f>
        <v>0</v>
      </c>
      <c r="C56" s="22">
        <f>B56*$B$6</f>
        <v>0</v>
      </c>
      <c r="D56" s="22">
        <f>C56*$B$7</f>
        <v>0</v>
      </c>
      <c r="E56" s="22">
        <f>IFERROR(F56-C56,"")</f>
        <v>0</v>
      </c>
      <c r="F56" s="22">
        <f>IF(B56&gt;1,IFERROR(($B$4*$B$6/((1-(1+$B$6)^(-$B$8)))),""),0)</f>
        <v>0</v>
      </c>
      <c r="G56" s="22" t="s">
        <v>89</v>
      </c>
    </row>
    <row r="57" spans="1:8">
      <c r="A57" s="22">
        <v>10</v>
      </c>
      <c r="B57" s="22">
        <f>IFERROR(B56-E56, "")</f>
        <v>0</v>
      </c>
      <c r="C57" s="22">
        <f>B57*$B$6</f>
        <v>0</v>
      </c>
      <c r="D57" s="22">
        <f>C57*$B$7</f>
        <v>0</v>
      </c>
      <c r="E57" s="22">
        <f>IFERROR(F57-C57,"")</f>
        <v>0</v>
      </c>
      <c r="F57" s="22">
        <f>IF(B57&gt;1,IFERROR(($B$4*$B$6/((1-(1+$B$6)^(-$B$8)))),""),0)</f>
        <v>0</v>
      </c>
      <c r="G57" s="22" t="s">
        <v>89</v>
      </c>
    </row>
    <row r="58" spans="1:8">
      <c r="A58" s="22">
        <v>11</v>
      </c>
      <c r="B58" s="22">
        <f>IFERROR(B57-E57, "")</f>
        <v>0</v>
      </c>
      <c r="C58" s="22">
        <f>B58*$B$6</f>
        <v>0</v>
      </c>
      <c r="D58" s="22">
        <f>C58*$B$7</f>
        <v>0</v>
      </c>
      <c r="E58" s="22">
        <f>IFERROR(F58-C58,"")</f>
        <v>0</v>
      </c>
      <c r="F58" s="22">
        <f>IF(B58&gt;1,IFERROR(($B$4*$B$6/((1-(1+$B$6)^(-$B$8)))),""),0)</f>
        <v>0</v>
      </c>
      <c r="G58" s="22" t="s">
        <v>89</v>
      </c>
    </row>
    <row r="59" spans="1:8">
      <c r="A59" s="22">
        <v>12</v>
      </c>
      <c r="B59" s="22">
        <f>IFERROR(B58-E58, "")</f>
        <v>0</v>
      </c>
      <c r="C59" s="22">
        <f>B59*$B$6</f>
        <v>0</v>
      </c>
      <c r="D59" s="22">
        <f>C59*$B$7</f>
        <v>0</v>
      </c>
      <c r="E59" s="22">
        <f>IFERROR(F59-C59,"")</f>
        <v>0</v>
      </c>
      <c r="F59" s="22">
        <f>IF(B59&gt;1,IFERROR(($B$4*$B$6/((1-(1+$B$6)^(-$B$8)))),""),0)</f>
        <v>0</v>
      </c>
      <c r="G59" s="22" t="s">
        <v>89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0070C0"/>
    <outlinePr summaryBelow="1" summaryRight="1"/>
  </sheetPr>
  <dimension ref="A1:F35"/>
  <sheetViews>
    <sheetView tabSelected="0" workbookViewId="0" showGridLines="true" showRowColHeaders="1">
      <selection activeCell="A31" sqref="A31:A35"/>
    </sheetView>
  </sheetViews>
  <sheetFormatPr defaultRowHeight="14.4" outlineLevelRow="0" outlineLevelCol="0"/>
  <cols>
    <col min="1" max="1" width="10.1640625" customWidth="true" style="0"/>
    <col min="2" max="2" width="11.1640625" customWidth="true" style="0"/>
    <col min="3" max="3" width="10.33203125" customWidth="true" style="0"/>
    <col min="4" max="4" width="10.33203125" customWidth="true" style="0"/>
    <col min="5" max="5" width="14.33203125" customWidth="true" style="0"/>
    <col min="6" max="6" width="10.33203125" customWidth="true" style="0"/>
  </cols>
  <sheetData>
    <row r="1" spans="1:6">
      <c r="A1" s="124" t="s">
        <v>194</v>
      </c>
    </row>
    <row r="3" spans="1:6">
      <c r="A3" s="25" t="s">
        <v>61</v>
      </c>
    </row>
    <row r="4" spans="1:6">
      <c r="A4" s="3" t="s">
        <v>195</v>
      </c>
      <c r="B4" s="4">
        <f>'1.Var.Fin'!B5</f>
        <v>22854700</v>
      </c>
      <c r="C4" s="3"/>
      <c r="D4" s="3"/>
      <c r="E4" s="5" t="s">
        <v>156</v>
      </c>
      <c r="F4" s="6"/>
    </row>
    <row r="5" spans="1:6">
      <c r="A5" s="3" t="s">
        <v>196</v>
      </c>
      <c r="B5" s="7">
        <f>'1.Var.Fin'!B7</f>
        <v>0.09</v>
      </c>
      <c r="C5" s="3"/>
      <c r="D5" s="3"/>
      <c r="E5" s="3"/>
      <c r="F5" s="3"/>
    </row>
    <row r="6" spans="1:6">
      <c r="A6" s="3" t="s">
        <v>190</v>
      </c>
      <c r="B6" s="8">
        <f>'1.Var.Fin'!B15</f>
        <v>0.1</v>
      </c>
      <c r="C6" s="3"/>
      <c r="D6" s="3"/>
      <c r="E6" s="3"/>
      <c r="F6" s="3"/>
    </row>
    <row r="7" spans="1:6">
      <c r="A7" s="3" t="s">
        <v>204</v>
      </c>
      <c r="B7" s="9">
        <f>ROUNDUP('1.Var.Fin'!B8/12,0)</f>
        <v>3</v>
      </c>
      <c r="C7" s="23" t="s">
        <v>205</v>
      </c>
      <c r="D7" s="3"/>
      <c r="E7" s="3"/>
      <c r="F7" s="3"/>
    </row>
    <row r="8" spans="1:6" customHeight="1" ht="24">
      <c r="A8" s="10" t="s">
        <v>206</v>
      </c>
      <c r="B8" s="10" t="s">
        <v>207</v>
      </c>
      <c r="C8" s="10" t="s">
        <v>201</v>
      </c>
      <c r="D8" s="10" t="s">
        <v>202</v>
      </c>
      <c r="E8" s="10" t="s">
        <v>135</v>
      </c>
      <c r="F8" s="11" t="s">
        <v>208</v>
      </c>
    </row>
    <row r="9" spans="1:6">
      <c r="A9" s="12" t="s">
        <v>144</v>
      </c>
      <c r="B9" s="13">
        <f>B4</f>
        <v>22854700</v>
      </c>
      <c r="C9" s="13">
        <f>B9*$B$5</f>
        <v>2056923</v>
      </c>
      <c r="D9" s="13">
        <f>B9*$B$6</f>
        <v>2285470</v>
      </c>
      <c r="E9" s="13">
        <f>F9-C9</f>
        <v>6971934.9623257</v>
      </c>
      <c r="F9" s="13">
        <f>IF(B9&gt;=1,IFERROR($B$4*$B$5/((1-(1+$B$5)^(-$B$7))),0),0)</f>
        <v>9028857.9623257</v>
      </c>
    </row>
    <row r="10" spans="1:6">
      <c r="A10" s="12" t="s">
        <v>88</v>
      </c>
      <c r="B10" s="13">
        <f>B9-E9</f>
        <v>15882765.037674</v>
      </c>
      <c r="C10" s="13">
        <f>B10*$B$5</f>
        <v>1429448.8533907</v>
      </c>
      <c r="D10" s="13">
        <f>B10*$B$6</f>
        <v>1588276.5037674</v>
      </c>
      <c r="E10" s="13">
        <f>F10-C10</f>
        <v>7599409.108935</v>
      </c>
      <c r="F10" s="13">
        <f>IF(B10&gt;=1,IFERROR($B$4*$B$5/((1-(1+$B$5)^(-$B$7))),0),0)</f>
        <v>9028857.9623257</v>
      </c>
    </row>
    <row r="11" spans="1:6">
      <c r="A11" s="12" t="s">
        <v>89</v>
      </c>
      <c r="B11" s="13">
        <f>B10-E10</f>
        <v>8283355.9287392</v>
      </c>
      <c r="C11" s="13">
        <f>B11*$B$5</f>
        <v>745502.03358653</v>
      </c>
      <c r="D11" s="13">
        <f>B11*$B$6</f>
        <v>828335.59287392</v>
      </c>
      <c r="E11" s="13">
        <f>F11-C11</f>
        <v>8283355.9287392</v>
      </c>
      <c r="F11" s="13">
        <f>IF(B11&gt;=1,IFERROR($B$4*$B$5/((1-(1+$B$5)^(-$B$7))),0),0)</f>
        <v>9028857.9623257</v>
      </c>
    </row>
    <row r="12" spans="1:6">
      <c r="A12" s="12" t="s">
        <v>145</v>
      </c>
      <c r="B12" s="13">
        <f>B11-E11</f>
        <v>2.6077032089233E-8</v>
      </c>
      <c r="C12" s="13">
        <f>B12*$B$5</f>
        <v>2.346932888031E-9</v>
      </c>
      <c r="D12" s="13">
        <f>B12*$B$6</f>
        <v>2.6077032089233E-9</v>
      </c>
      <c r="E12" s="13">
        <f>F12-C12</f>
        <v>-2.346932888031E-9</v>
      </c>
      <c r="F12" s="13">
        <f>IF(B12&gt;=1,IFERROR($B$4*$B$5/((1-(1+$B$5)^(-$B$7))),0),0)</f>
        <v>0</v>
      </c>
    </row>
    <row r="13" spans="1:6">
      <c r="A13" s="12" t="s">
        <v>146</v>
      </c>
      <c r="B13" s="13">
        <f>B12-E12</f>
        <v>2.8423964977264E-8</v>
      </c>
      <c r="C13" s="13">
        <f>B13*$B$5</f>
        <v>2.5581568479538E-9</v>
      </c>
      <c r="D13" s="13">
        <f>B13*$B$6</f>
        <v>2.8423964977264E-9</v>
      </c>
      <c r="E13" s="13">
        <f>F13-C13</f>
        <v>-2.5581568479538E-9</v>
      </c>
      <c r="F13" s="13">
        <f>IF(B13&gt;=1,IFERROR($B$4*$B$5/((1-(1+$B$5)^(-$B$7))),0),0)</f>
        <v>0</v>
      </c>
    </row>
    <row r="14" spans="1:6">
      <c r="A14" s="25" t="s">
        <v>62</v>
      </c>
    </row>
    <row r="15" spans="1:6">
      <c r="A15" s="3" t="s">
        <v>195</v>
      </c>
      <c r="B15" s="4">
        <f>'1.Var.Fin'!C5</f>
        <v>3698500.8718</v>
      </c>
      <c r="C15" s="3"/>
      <c r="D15" s="3"/>
      <c r="E15" s="5" t="s">
        <v>156</v>
      </c>
      <c r="F15" s="6"/>
    </row>
    <row r="16" spans="1:6">
      <c r="A16" s="3" t="s">
        <v>196</v>
      </c>
      <c r="B16" s="7">
        <f>'1.Var.Fin'!C7</f>
        <v>0.11</v>
      </c>
      <c r="C16" s="3"/>
      <c r="D16" s="3"/>
      <c r="E16" s="3"/>
      <c r="F16" s="3"/>
    </row>
    <row r="17" spans="1:6">
      <c r="A17" s="3" t="s">
        <v>190</v>
      </c>
      <c r="B17" s="8">
        <f>'1.Var.Fin'!C15</f>
        <v>0.1</v>
      </c>
      <c r="C17" s="3"/>
      <c r="D17" s="3"/>
      <c r="E17" s="3"/>
      <c r="F17" s="3"/>
    </row>
    <row r="18" spans="1:6">
      <c r="A18" s="3" t="s">
        <v>204</v>
      </c>
      <c r="B18" s="9">
        <f>ROUNDUP('1.Var.Fin'!C8/12,0)</f>
        <v>3</v>
      </c>
      <c r="C18" s="23" t="s">
        <v>205</v>
      </c>
      <c r="D18" s="3"/>
      <c r="E18" s="3"/>
      <c r="F18" s="3"/>
    </row>
    <row r="19" spans="1:6" customHeight="1" ht="24">
      <c r="A19" s="10" t="s">
        <v>206</v>
      </c>
      <c r="B19" s="10" t="s">
        <v>207</v>
      </c>
      <c r="C19" s="10" t="s">
        <v>201</v>
      </c>
      <c r="D19" s="10" t="s">
        <v>202</v>
      </c>
      <c r="E19" s="10" t="s">
        <v>135</v>
      </c>
      <c r="F19" s="11" t="s">
        <v>208</v>
      </c>
    </row>
    <row r="20" spans="1:6">
      <c r="A20" s="12" t="s">
        <v>88</v>
      </c>
      <c r="B20" s="13">
        <f>H15</f>
        <v>0</v>
      </c>
      <c r="C20" s="13">
        <f>B20*$B$5</f>
        <v>0</v>
      </c>
      <c r="D20" s="13">
        <f>B20*$B$6</f>
        <v>0</v>
      </c>
      <c r="E20" s="13">
        <f>F20-C20</f>
        <v>0</v>
      </c>
      <c r="F20" s="13">
        <f>IF(B20&gt;=1,IFERROR($B$4*$B$5/((1-(1+$B$5)^(-$B$7))),0),0)</f>
        <v>0</v>
      </c>
    </row>
    <row r="21" spans="1:6">
      <c r="A21" s="12" t="s">
        <v>89</v>
      </c>
      <c r="B21" s="13">
        <f>B20-E20</f>
        <v>0</v>
      </c>
      <c r="C21" s="13">
        <f>B21*$B$5</f>
        <v>0</v>
      </c>
      <c r="D21" s="13">
        <f>B21*$B$6</f>
        <v>0</v>
      </c>
      <c r="E21" s="13">
        <f>F21-C21</f>
        <v>0</v>
      </c>
      <c r="F21" s="13">
        <f>IF(B21&gt;=1,IFERROR($B$4*$B$5/((1-(1+$B$5)^(-$B$7))),0),0)</f>
        <v>0</v>
      </c>
    </row>
    <row r="22" spans="1:6">
      <c r="A22" s="12" t="s">
        <v>145</v>
      </c>
      <c r="B22" s="13">
        <f>B21-E21</f>
        <v>0</v>
      </c>
      <c r="C22" s="13">
        <f>B22*$B$5</f>
        <v>0</v>
      </c>
      <c r="D22" s="13">
        <f>B22*$B$6</f>
        <v>0</v>
      </c>
      <c r="E22" s="13">
        <f>F22-C22</f>
        <v>0</v>
      </c>
      <c r="F22" s="13">
        <f>IF(B22&gt;=1,IFERROR($B$4*$B$5/((1-(1+$B$5)^(-$B$7))),0),0)</f>
        <v>0</v>
      </c>
    </row>
    <row r="23" spans="1:6">
      <c r="A23" s="12" t="s">
        <v>146</v>
      </c>
      <c r="B23" s="13">
        <f>B22-E22</f>
        <v>0</v>
      </c>
      <c r="C23" s="13">
        <f>B23*$B$5</f>
        <v>0</v>
      </c>
      <c r="D23" s="13">
        <f>B23*$B$6</f>
        <v>0</v>
      </c>
      <c r="E23" s="13">
        <f>F23-C23</f>
        <v>0</v>
      </c>
      <c r="F23" s="13">
        <f>IF(B23&gt;=1,IFERROR($B$4*$B$5/((1-(1+$B$5)^(-$B$7))),0),0)</f>
        <v>0</v>
      </c>
    </row>
    <row r="24" spans="1:6">
      <c r="A24" s="12" t="s">
        <v>209</v>
      </c>
      <c r="B24" s="13">
        <f>B23-E23</f>
        <v>0</v>
      </c>
      <c r="C24" s="13">
        <f>B24*$B$5</f>
        <v>0</v>
      </c>
      <c r="D24" s="13">
        <f>B24*$B$6</f>
        <v>0</v>
      </c>
      <c r="E24" s="13">
        <f>F24-C24</f>
        <v>0</v>
      </c>
      <c r="F24" s="13">
        <f>IF(B24&gt;=1,IFERROR($B$4*$B$5/((1-(1+$B$5)^(-$B$7))),0),0)</f>
        <v>0</v>
      </c>
    </row>
    <row r="25" spans="1:6">
      <c r="A25" s="25" t="s">
        <v>63</v>
      </c>
    </row>
    <row r="26" spans="1:6">
      <c r="A26" s="3" t="s">
        <v>195</v>
      </c>
      <c r="B26" s="4">
        <f>'1.Var.Fin'!D5</f>
        <v>0</v>
      </c>
      <c r="C26" s="3"/>
      <c r="D26" s="3"/>
      <c r="E26" s="5" t="s">
        <v>156</v>
      </c>
      <c r="F26" s="6"/>
    </row>
    <row r="27" spans="1:6">
      <c r="A27" s="3" t="s">
        <v>196</v>
      </c>
      <c r="B27" s="7">
        <f>'1.Var.Fin'!D7</f>
        <v>0.1</v>
      </c>
      <c r="C27" s="3"/>
      <c r="D27" s="3"/>
      <c r="E27" s="3"/>
      <c r="F27" s="3"/>
    </row>
    <row r="28" spans="1:6">
      <c r="A28" s="3" t="s">
        <v>190</v>
      </c>
      <c r="B28" s="8">
        <f>'1.Var.Fin'!D15</f>
        <v>0.1</v>
      </c>
      <c r="C28" s="3"/>
      <c r="D28" s="3"/>
      <c r="E28" s="3"/>
      <c r="F28" s="3"/>
    </row>
    <row r="29" spans="1:6">
      <c r="A29" s="3" t="s">
        <v>204</v>
      </c>
      <c r="B29" s="9">
        <f>ROUNDUP('1.Var.Fin'!D8/12,0)</f>
        <v>3</v>
      </c>
      <c r="C29" s="23" t="s">
        <v>205</v>
      </c>
      <c r="D29" s="3"/>
      <c r="E29" s="3"/>
      <c r="F29" s="3"/>
    </row>
    <row r="30" spans="1:6" customHeight="1" ht="24">
      <c r="A30" s="10" t="s">
        <v>206</v>
      </c>
      <c r="B30" s="10" t="s">
        <v>207</v>
      </c>
      <c r="C30" s="10" t="s">
        <v>201</v>
      </c>
      <c r="D30" s="10" t="s">
        <v>202</v>
      </c>
      <c r="E30" s="10" t="s">
        <v>135</v>
      </c>
      <c r="F30" s="11" t="s">
        <v>208</v>
      </c>
    </row>
    <row r="31" spans="1:6">
      <c r="A31" s="12" t="s">
        <v>89</v>
      </c>
      <c r="B31" s="13">
        <f>H26</f>
        <v>0</v>
      </c>
      <c r="C31" s="13">
        <f>B31*$B$5</f>
        <v>0</v>
      </c>
      <c r="D31" s="13">
        <f>B31*$B$6</f>
        <v>0</v>
      </c>
      <c r="E31" s="13">
        <f>F31-C31</f>
        <v>0</v>
      </c>
      <c r="F31" s="13">
        <f>IF(B31&gt;=1,IFERROR($B$4*$B$5/((1-(1+$B$5)^(-$B$7))),0),0)</f>
        <v>0</v>
      </c>
    </row>
    <row r="32" spans="1:6">
      <c r="A32" s="12" t="s">
        <v>145</v>
      </c>
      <c r="B32" s="13">
        <f>B31-E31</f>
        <v>0</v>
      </c>
      <c r="C32" s="13">
        <f>B32*$B$5</f>
        <v>0</v>
      </c>
      <c r="D32" s="13">
        <f>B32*$B$6</f>
        <v>0</v>
      </c>
      <c r="E32" s="13">
        <f>F32-C32</f>
        <v>0</v>
      </c>
      <c r="F32" s="13">
        <f>IF(B32&gt;=1,IFERROR($B$4*$B$5/((1-(1+$B$5)^(-$B$7))),0),0)</f>
        <v>0</v>
      </c>
    </row>
    <row r="33" spans="1:6">
      <c r="A33" s="12" t="s">
        <v>146</v>
      </c>
      <c r="B33" s="13">
        <f>B32-E32</f>
        <v>0</v>
      </c>
      <c r="C33" s="13">
        <f>B33*$B$5</f>
        <v>0</v>
      </c>
      <c r="D33" s="13">
        <f>B33*$B$6</f>
        <v>0</v>
      </c>
      <c r="E33" s="13">
        <f>F33-C33</f>
        <v>0</v>
      </c>
      <c r="F33" s="13">
        <f>IF(B33&gt;=1,IFERROR($B$4*$B$5/((1-(1+$B$5)^(-$B$7))),0),0)</f>
        <v>0</v>
      </c>
    </row>
    <row r="34" spans="1:6">
      <c r="A34" s="12" t="s">
        <v>209</v>
      </c>
      <c r="B34" s="13">
        <f>B33-E33</f>
        <v>0</v>
      </c>
      <c r="C34" s="13">
        <f>B34*$B$5</f>
        <v>0</v>
      </c>
      <c r="D34" s="13">
        <f>B34*$B$6</f>
        <v>0</v>
      </c>
      <c r="E34" s="13">
        <f>F34-C34</f>
        <v>0</v>
      </c>
      <c r="F34" s="13">
        <f>IF(B34&gt;=1,IFERROR($B$4*$B$5/((1-(1+$B$5)^(-$B$7))),0),0)</f>
        <v>0</v>
      </c>
    </row>
    <row r="35" spans="1:6">
      <c r="A35" s="12" t="s">
        <v>210</v>
      </c>
      <c r="B35" s="13">
        <f>B34-E34</f>
        <v>0</v>
      </c>
      <c r="C35" s="13">
        <f>B35*$B$5</f>
        <v>0</v>
      </c>
      <c r="D35" s="13">
        <f>B35*$B$6</f>
        <v>0</v>
      </c>
      <c r="E35" s="13">
        <f>F35-C35</f>
        <v>0</v>
      </c>
      <c r="F35" s="13">
        <f>IF(B35&gt;=1,IFERROR($B$4*$B$5/((1-(1+$B$5)^(-$B$7))),0),0)</f>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0070C0"/>
    <outlinePr summaryBelow="1" summaryRight="1"/>
  </sheetPr>
  <dimension ref="A1:F35"/>
  <sheetViews>
    <sheetView tabSelected="0" workbookViewId="0" showGridLines="true" showRowColHeaders="1">
      <selection activeCell="G6" sqref="G6"/>
    </sheetView>
  </sheetViews>
  <sheetFormatPr defaultRowHeight="14.4" outlineLevelRow="0" outlineLevelCol="0"/>
  <cols>
    <col min="1" max="1" width="8.83203125" customWidth="true" style="0"/>
    <col min="2" max="2" width="13.5" customWidth="true" style="0"/>
    <col min="3" max="3" width="9.5" customWidth="true" style="0"/>
    <col min="4" max="4" width="9.5" customWidth="true" style="0"/>
    <col min="5" max="5" width="13.5" customWidth="true" style="0"/>
    <col min="6" max="6" width="9.5" customWidth="true" style="0"/>
  </cols>
  <sheetData>
    <row r="1" spans="1:6">
      <c r="A1" s="124" t="s">
        <v>211</v>
      </c>
    </row>
    <row r="3" spans="1:6">
      <c r="A3" s="237" t="s">
        <v>61</v>
      </c>
    </row>
    <row r="4" spans="1:6">
      <c r="A4" s="3" t="s">
        <v>195</v>
      </c>
      <c r="B4" s="4">
        <f>'1.Var.Fin'!B17</f>
        <v>0</v>
      </c>
      <c r="C4" s="3"/>
      <c r="D4" s="3"/>
      <c r="E4" s="5" t="s">
        <v>156</v>
      </c>
      <c r="F4" s="6"/>
    </row>
    <row r="5" spans="1:6">
      <c r="A5" s="3" t="s">
        <v>196</v>
      </c>
      <c r="B5" s="7">
        <f>'1.Var.Fin'!B19</f>
        <v>0</v>
      </c>
      <c r="C5" s="3"/>
      <c r="D5" s="3"/>
      <c r="E5" s="3"/>
      <c r="F5" s="3"/>
    </row>
    <row r="6" spans="1:6">
      <c r="A6" s="3" t="s">
        <v>190</v>
      </c>
      <c r="B6" s="8">
        <f>'1.Var.Fin'!B21</f>
        <v>0.1</v>
      </c>
      <c r="C6" s="3"/>
      <c r="D6" s="3"/>
      <c r="E6" s="3"/>
      <c r="F6" s="3"/>
    </row>
    <row r="7" spans="1:6">
      <c r="A7" s="3" t="s">
        <v>204</v>
      </c>
      <c r="B7" s="9">
        <f>ROUNDUP('1.Var.Fin'!B8/12,0)</f>
        <v>3</v>
      </c>
      <c r="C7" s="23" t="s">
        <v>205</v>
      </c>
      <c r="D7" s="3"/>
      <c r="E7" s="3"/>
      <c r="F7" s="3"/>
    </row>
    <row r="8" spans="1:6" customHeight="1" ht="24">
      <c r="A8" s="10" t="s">
        <v>206</v>
      </c>
      <c r="B8" s="10" t="s">
        <v>207</v>
      </c>
      <c r="C8" s="10" t="s">
        <v>201</v>
      </c>
      <c r="D8" s="10" t="s">
        <v>202</v>
      </c>
      <c r="E8" s="10" t="s">
        <v>135</v>
      </c>
      <c r="F8" s="11" t="s">
        <v>208</v>
      </c>
    </row>
    <row r="9" spans="1:6">
      <c r="A9" s="12" t="s">
        <v>144</v>
      </c>
      <c r="B9" s="13">
        <f>B4</f>
        <v>0</v>
      </c>
      <c r="C9" s="13">
        <f>B9*$B$5</f>
        <v>0</v>
      </c>
      <c r="D9" s="13">
        <f>B9*$B$6</f>
        <v>0</v>
      </c>
      <c r="E9" s="13">
        <f>F9-C9</f>
        <v>0</v>
      </c>
      <c r="F9" s="13">
        <f>IF(B9&gt;=1,IFERROR($B$4*$B$5/((1-(1+$B$5)^(-$B$7))),0),0)</f>
        <v>0</v>
      </c>
    </row>
    <row r="10" spans="1:6">
      <c r="A10" s="12" t="s">
        <v>88</v>
      </c>
      <c r="B10" s="13">
        <f>B9-E9</f>
        <v>0</v>
      </c>
      <c r="C10" s="13">
        <f>B10*$B$5</f>
        <v>0</v>
      </c>
      <c r="D10" s="13">
        <f>B10*$B$6</f>
        <v>0</v>
      </c>
      <c r="E10" s="13">
        <f>F10-C10</f>
        <v>0</v>
      </c>
      <c r="F10" s="13">
        <f>IF(B10&gt;=1,IFERROR($B$4*$B$5/((1-(1+$B$5)^(-$B$7))),0),0)</f>
        <v>0</v>
      </c>
    </row>
    <row r="11" spans="1:6">
      <c r="A11" s="12" t="s">
        <v>89</v>
      </c>
      <c r="B11" s="13">
        <f>B10-E10</f>
        <v>0</v>
      </c>
      <c r="C11" s="13">
        <f>B11*$B$5</f>
        <v>0</v>
      </c>
      <c r="D11" s="13">
        <f>B11*$B$6</f>
        <v>0</v>
      </c>
      <c r="E11" s="13">
        <f>F11-C11</f>
        <v>0</v>
      </c>
      <c r="F11" s="13">
        <f>IF(B11&gt;=1,IFERROR($B$4*$B$5/((1-(1+$B$5)^(-$B$7))),0),0)</f>
        <v>0</v>
      </c>
    </row>
    <row r="12" spans="1:6">
      <c r="A12" s="12" t="s">
        <v>145</v>
      </c>
      <c r="B12" s="13">
        <f>B11-E11</f>
        <v>0</v>
      </c>
      <c r="C12" s="13">
        <f>B12*$B$5</f>
        <v>0</v>
      </c>
      <c r="D12" s="13">
        <f>B12*$B$6</f>
        <v>0</v>
      </c>
      <c r="E12" s="13">
        <f>F12-C12</f>
        <v>0</v>
      </c>
      <c r="F12" s="13">
        <f>IF(B12&gt;=1,IFERROR($B$4*$B$5/((1-(1+$B$5)^(-$B$7))),0),0)</f>
        <v>0</v>
      </c>
    </row>
    <row r="13" spans="1:6">
      <c r="A13" s="12" t="s">
        <v>146</v>
      </c>
      <c r="B13" s="13">
        <f>B12-E12</f>
        <v>0</v>
      </c>
      <c r="C13" s="13">
        <f>B13*$B$5</f>
        <v>0</v>
      </c>
      <c r="D13" s="13">
        <f>B13*$B$6</f>
        <v>0</v>
      </c>
      <c r="E13" s="13">
        <f>F13-C13</f>
        <v>0</v>
      </c>
      <c r="F13" s="13">
        <f>IF(B13&gt;=1,IFERROR($B$4*$B$5/((1-(1+$B$5)^(-$B$7))),0),0)</f>
        <v>0</v>
      </c>
    </row>
    <row r="14" spans="1:6">
      <c r="A14" s="237" t="s">
        <v>62</v>
      </c>
    </row>
    <row r="15" spans="1:6">
      <c r="A15" s="3" t="s">
        <v>195</v>
      </c>
      <c r="B15" s="4">
        <f>'1.Var.Fin'!C17</f>
        <v>0</v>
      </c>
      <c r="C15" s="3"/>
      <c r="D15" s="3"/>
      <c r="E15" s="5" t="s">
        <v>156</v>
      </c>
      <c r="F15" s="6"/>
    </row>
    <row r="16" spans="1:6">
      <c r="A16" s="3" t="s">
        <v>196</v>
      </c>
      <c r="B16" s="7">
        <f>'1.Var.Fin'!C19</f>
        <v>0</v>
      </c>
      <c r="C16" s="3"/>
      <c r="D16" s="3"/>
      <c r="E16" s="3"/>
      <c r="F16" s="3"/>
    </row>
    <row r="17" spans="1:6">
      <c r="A17" s="3" t="s">
        <v>190</v>
      </c>
      <c r="B17" s="8">
        <f>'1.Var.Fin'!C21</f>
        <v>0.1</v>
      </c>
      <c r="C17" s="3"/>
      <c r="D17" s="3"/>
      <c r="E17" s="3"/>
      <c r="F17" s="3"/>
    </row>
    <row r="18" spans="1:6">
      <c r="A18" s="3" t="s">
        <v>204</v>
      </c>
      <c r="B18" s="9">
        <f>ROUNDUP('1.Var.Fin'!C8/12,0)</f>
        <v>3</v>
      </c>
      <c r="C18" s="23" t="s">
        <v>205</v>
      </c>
      <c r="D18" s="3"/>
      <c r="E18" s="3"/>
      <c r="F18" s="3"/>
    </row>
    <row r="19" spans="1:6" customHeight="1" ht="24">
      <c r="A19" s="10" t="s">
        <v>206</v>
      </c>
      <c r="B19" s="10" t="s">
        <v>207</v>
      </c>
      <c r="C19" s="10" t="s">
        <v>201</v>
      </c>
      <c r="D19" s="10" t="s">
        <v>202</v>
      </c>
      <c r="E19" s="10" t="s">
        <v>135</v>
      </c>
      <c r="F19" s="11" t="s">
        <v>208</v>
      </c>
    </row>
    <row r="20" spans="1:6">
      <c r="A20" s="12" t="s">
        <v>144</v>
      </c>
      <c r="B20" s="13">
        <f>H15</f>
        <v>0</v>
      </c>
      <c r="C20" s="13">
        <f>B20*$B$5</f>
        <v>0</v>
      </c>
      <c r="D20" s="13">
        <f>B20*$B$6</f>
        <v>0</v>
      </c>
      <c r="E20" s="13">
        <f>F20-C20</f>
        <v>0</v>
      </c>
      <c r="F20" s="13">
        <f>IF(B20&gt;=1,IFERROR($B$4*$B$5/((1-(1+$B$5)^(-$B$7))),0),0)</f>
        <v>0</v>
      </c>
    </row>
    <row r="21" spans="1:6">
      <c r="A21" s="12" t="s">
        <v>88</v>
      </c>
      <c r="B21" s="13">
        <f>B20-E20</f>
        <v>0</v>
      </c>
      <c r="C21" s="13">
        <f>B21*$B$5</f>
        <v>0</v>
      </c>
      <c r="D21" s="13">
        <f>B21*$B$6</f>
        <v>0</v>
      </c>
      <c r="E21" s="13">
        <f>F21-C21</f>
        <v>0</v>
      </c>
      <c r="F21" s="13">
        <f>IF(B21&gt;=1,IFERROR($B$4*$B$5/((1-(1+$B$5)^(-$B$7))),0),0)</f>
        <v>0</v>
      </c>
    </row>
    <row r="22" spans="1:6">
      <c r="A22" s="12" t="s">
        <v>89</v>
      </c>
      <c r="B22" s="13">
        <f>B21-E21</f>
        <v>0</v>
      </c>
      <c r="C22" s="13">
        <f>B22*$B$5</f>
        <v>0</v>
      </c>
      <c r="D22" s="13">
        <f>B22*$B$6</f>
        <v>0</v>
      </c>
      <c r="E22" s="13">
        <f>F22-C22</f>
        <v>0</v>
      </c>
      <c r="F22" s="13">
        <f>IF(B22&gt;=1,IFERROR($B$4*$B$5/((1-(1+$B$5)^(-$B$7))),0),0)</f>
        <v>0</v>
      </c>
    </row>
    <row r="23" spans="1:6">
      <c r="A23" s="12" t="s">
        <v>145</v>
      </c>
      <c r="B23" s="13">
        <f>B22-E22</f>
        <v>0</v>
      </c>
      <c r="C23" s="13">
        <f>B23*$B$5</f>
        <v>0</v>
      </c>
      <c r="D23" s="13">
        <f>B23*$B$6</f>
        <v>0</v>
      </c>
      <c r="E23" s="13">
        <f>F23-C23</f>
        <v>0</v>
      </c>
      <c r="F23" s="13">
        <f>IF(B23&gt;=1,IFERROR($B$4*$B$5/((1-(1+$B$5)^(-$B$7))),0),0)</f>
        <v>0</v>
      </c>
    </row>
    <row r="24" spans="1:6">
      <c r="A24" s="12" t="s">
        <v>146</v>
      </c>
      <c r="B24" s="13">
        <f>B23-E23</f>
        <v>0</v>
      </c>
      <c r="C24" s="13">
        <f>B24*$B$5</f>
        <v>0</v>
      </c>
      <c r="D24" s="13">
        <f>B24*$B$6</f>
        <v>0</v>
      </c>
      <c r="E24" s="13">
        <f>F24-C24</f>
        <v>0</v>
      </c>
      <c r="F24" s="13">
        <f>IF(B24&gt;=1,IFERROR($B$4*$B$5/((1-(1+$B$5)^(-$B$7))),0),0)</f>
        <v>0</v>
      </c>
    </row>
    <row r="25" spans="1:6">
      <c r="A25" s="237" t="s">
        <v>63</v>
      </c>
    </row>
    <row r="26" spans="1:6">
      <c r="A26" s="3" t="s">
        <v>195</v>
      </c>
      <c r="B26" s="4">
        <f>'1.Var.Fin'!D17</f>
        <v>0</v>
      </c>
      <c r="C26" s="3"/>
      <c r="D26" s="3"/>
      <c r="E26" s="5" t="s">
        <v>156</v>
      </c>
      <c r="F26" s="6"/>
    </row>
    <row r="27" spans="1:6">
      <c r="A27" s="3" t="s">
        <v>196</v>
      </c>
      <c r="B27" s="7">
        <f>'1.Var.Fin'!D19</f>
        <v>0</v>
      </c>
      <c r="C27" s="3"/>
      <c r="D27" s="3"/>
      <c r="E27" s="3"/>
      <c r="F27" s="3"/>
    </row>
    <row r="28" spans="1:6">
      <c r="A28" s="3" t="s">
        <v>190</v>
      </c>
      <c r="B28" s="8">
        <f>'1.Var.Fin'!D21</f>
        <v>0.1</v>
      </c>
      <c r="C28" s="3"/>
      <c r="D28" s="3"/>
      <c r="E28" s="3"/>
      <c r="F28" s="3"/>
    </row>
    <row r="29" spans="1:6">
      <c r="A29" s="3" t="s">
        <v>204</v>
      </c>
      <c r="B29" s="9">
        <f>ROUNDUP('1.Var.Fin'!D8/12,0)</f>
        <v>3</v>
      </c>
      <c r="C29" s="23" t="s">
        <v>205</v>
      </c>
      <c r="D29" s="3"/>
      <c r="E29" s="3"/>
      <c r="F29" s="3"/>
    </row>
    <row r="30" spans="1:6" customHeight="1" ht="24">
      <c r="A30" s="10" t="s">
        <v>206</v>
      </c>
      <c r="B30" s="10" t="s">
        <v>207</v>
      </c>
      <c r="C30" s="10" t="s">
        <v>201</v>
      </c>
      <c r="D30" s="10" t="s">
        <v>202</v>
      </c>
      <c r="E30" s="10" t="s">
        <v>135</v>
      </c>
      <c r="F30" s="11" t="s">
        <v>208</v>
      </c>
    </row>
    <row r="31" spans="1:6">
      <c r="A31" s="12" t="s">
        <v>144</v>
      </c>
      <c r="B31" s="13">
        <f>H26</f>
        <v>0</v>
      </c>
      <c r="C31" s="13">
        <f>B31*$B$5</f>
        <v>0</v>
      </c>
      <c r="D31" s="13">
        <f>B31*$B$6</f>
        <v>0</v>
      </c>
      <c r="E31" s="13">
        <f>F31-C31</f>
        <v>0</v>
      </c>
      <c r="F31" s="13">
        <f>IF(B31&gt;=1,IFERROR($B$4*$B$5/((1-(1+$B$5)^(-$B$7))),0),0)</f>
        <v>0</v>
      </c>
    </row>
    <row r="32" spans="1:6">
      <c r="A32" s="12" t="s">
        <v>88</v>
      </c>
      <c r="B32" s="13">
        <f>B31-E31</f>
        <v>0</v>
      </c>
      <c r="C32" s="13">
        <f>B32*$B$5</f>
        <v>0</v>
      </c>
      <c r="D32" s="13">
        <f>B32*$B$6</f>
        <v>0</v>
      </c>
      <c r="E32" s="13">
        <f>F32-C32</f>
        <v>0</v>
      </c>
      <c r="F32" s="13">
        <f>IF(B32&gt;=1,IFERROR($B$4*$B$5/((1-(1+$B$5)^(-$B$7))),0),0)</f>
        <v>0</v>
      </c>
    </row>
    <row r="33" spans="1:6">
      <c r="A33" s="12" t="s">
        <v>89</v>
      </c>
      <c r="B33" s="13">
        <f>B32-E32</f>
        <v>0</v>
      </c>
      <c r="C33" s="13">
        <f>B33*$B$5</f>
        <v>0</v>
      </c>
      <c r="D33" s="13">
        <f>B33*$B$6</f>
        <v>0</v>
      </c>
      <c r="E33" s="13">
        <f>F33-C33</f>
        <v>0</v>
      </c>
      <c r="F33" s="13">
        <f>IF(B33&gt;=1,IFERROR($B$4*$B$5/((1-(1+$B$5)^(-$B$7))),0),0)</f>
        <v>0</v>
      </c>
    </row>
    <row r="34" spans="1:6">
      <c r="A34" s="12" t="s">
        <v>145</v>
      </c>
      <c r="B34" s="13">
        <f>B33-E33</f>
        <v>0</v>
      </c>
      <c r="C34" s="13">
        <f>B34*$B$5</f>
        <v>0</v>
      </c>
      <c r="D34" s="13">
        <f>B34*$B$6</f>
        <v>0</v>
      </c>
      <c r="E34" s="13">
        <f>F34-C34</f>
        <v>0</v>
      </c>
      <c r="F34" s="13">
        <f>IF(B34&gt;=1,IFERROR($B$4*$B$5/((1-(1+$B$5)^(-$B$7))),0),0)</f>
        <v>0</v>
      </c>
    </row>
    <row r="35" spans="1:6">
      <c r="A35" s="12" t="s">
        <v>146</v>
      </c>
      <c r="B35" s="13">
        <f>B34-E34</f>
        <v>0</v>
      </c>
      <c r="C35" s="13">
        <f>B35*$B$5</f>
        <v>0</v>
      </c>
      <c r="D35" s="13">
        <f>B35*$B$6</f>
        <v>0</v>
      </c>
      <c r="E35" s="13">
        <f>F35-C35</f>
        <v>0</v>
      </c>
      <c r="F35" s="13">
        <f>IF(B35&gt;=1,IFERROR($B$4*$B$5/((1-(1+$B$5)^(-$B$7))),0),0)</f>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00B050"/>
    <outlinePr summaryBelow="1" summaryRight="1"/>
  </sheetPr>
  <dimension ref="A1:G21"/>
  <sheetViews>
    <sheetView tabSelected="0" workbookViewId="0" showGridLines="true" showRowColHeaders="1">
      <selection activeCell="F7" sqref="F7"/>
    </sheetView>
  </sheetViews>
  <sheetFormatPr defaultRowHeight="14.4" defaultColWidth="10.83203125" outlineLevelRow="0" outlineLevelCol="0"/>
  <cols>
    <col min="1" max="1" width="2.5" customWidth="true" style="24"/>
    <col min="2" max="2" width="47.83203125" customWidth="true" style="24"/>
    <col min="3" max="3" width="33" customWidth="true" style="24"/>
    <col min="4" max="4" width="19.5" customWidth="true" style="24"/>
    <col min="5" max="5" width="3.83203125" customWidth="true" style="24"/>
    <col min="6" max="6" width="9.83203125" customWidth="true" style="24"/>
    <col min="7" max="7" width="10.83203125" style="24"/>
  </cols>
  <sheetData>
    <row r="1" spans="1:7" customHeight="1" ht="14">
      <c r="A1" s="124" t="s">
        <v>212</v>
      </c>
    </row>
    <row r="2" spans="1:7" customHeight="1" ht="14">
      <c r="A2" s="124"/>
    </row>
    <row r="3" spans="1:7">
      <c r="A3" s="26"/>
      <c r="B3" s="27" t="s">
        <v>213</v>
      </c>
      <c r="C3" s="116" t="s">
        <v>214</v>
      </c>
      <c r="D3" s="231" t="s">
        <v>215</v>
      </c>
      <c r="E3" s="116" t="s">
        <v>87</v>
      </c>
      <c r="F3" s="116" t="s">
        <v>183</v>
      </c>
    </row>
    <row r="4" spans="1:7" s="25" customFormat="1">
      <c r="A4" s="27" t="s">
        <v>16</v>
      </c>
      <c r="B4" s="27" t="s">
        <v>216</v>
      </c>
      <c r="C4" s="117" t="s">
        <v>217</v>
      </c>
      <c r="D4" s="232" t="s">
        <v>185</v>
      </c>
      <c r="E4" s="117">
        <v>1</v>
      </c>
      <c r="F4" s="118">
        <v>2500000</v>
      </c>
    </row>
    <row r="5" spans="1:7">
      <c r="A5" s="26"/>
      <c r="B5" s="26"/>
      <c r="C5" s="117" t="s">
        <v>218</v>
      </c>
      <c r="D5" s="232" t="s">
        <v>185</v>
      </c>
      <c r="E5" s="117">
        <v>1</v>
      </c>
      <c r="F5" s="118">
        <v>2500000</v>
      </c>
    </row>
    <row r="6" spans="1:7">
      <c r="A6" s="27" t="s">
        <v>18</v>
      </c>
      <c r="B6" s="27" t="s">
        <v>219</v>
      </c>
      <c r="C6" s="117" t="s">
        <v>220</v>
      </c>
      <c r="D6" s="232" t="s">
        <v>185</v>
      </c>
      <c r="E6" s="117">
        <v>1</v>
      </c>
      <c r="F6" s="118">
        <v>5000000</v>
      </c>
    </row>
    <row r="7" spans="1:7">
      <c r="A7" s="26"/>
      <c r="B7" s="26"/>
      <c r="C7" s="117" t="s">
        <v>221</v>
      </c>
      <c r="D7" s="232" t="s">
        <v>185</v>
      </c>
      <c r="E7" s="117">
        <v>1</v>
      </c>
      <c r="F7" s="118">
        <v>0</v>
      </c>
    </row>
    <row r="8" spans="1:7">
      <c r="A8" s="26"/>
      <c r="B8" s="26"/>
      <c r="C8" s="117" t="s">
        <v>222</v>
      </c>
      <c r="D8" s="232" t="s">
        <v>185</v>
      </c>
      <c r="E8" s="117">
        <v>1</v>
      </c>
      <c r="F8" s="118">
        <v>0</v>
      </c>
    </row>
    <row r="9" spans="1:7">
      <c r="A9" s="27" t="s">
        <v>20</v>
      </c>
      <c r="B9" s="27" t="s">
        <v>223</v>
      </c>
      <c r="C9" s="117" t="s">
        <v>224</v>
      </c>
      <c r="D9" s="232" t="s">
        <v>185</v>
      </c>
      <c r="E9" s="117">
        <v>1</v>
      </c>
      <c r="F9" s="118">
        <v>510000</v>
      </c>
    </row>
    <row r="10" spans="1:7" s="25" customFormat="1">
      <c r="A10" s="27"/>
      <c r="B10" s="27"/>
      <c r="C10" s="117" t="s">
        <v>225</v>
      </c>
      <c r="D10" s="232" t="s">
        <v>185</v>
      </c>
      <c r="E10" s="117">
        <v>1</v>
      </c>
      <c r="F10" s="118">
        <v>0</v>
      </c>
    </row>
    <row r="11" spans="1:7">
      <c r="A11" s="26"/>
      <c r="B11" s="26"/>
      <c r="C11" s="117" t="s">
        <v>224</v>
      </c>
      <c r="D11" s="232" t="s">
        <v>185</v>
      </c>
      <c r="E11" s="117">
        <v>1</v>
      </c>
      <c r="F11" s="118">
        <v>0</v>
      </c>
    </row>
    <row r="12" spans="1:7">
      <c r="A12" s="26"/>
      <c r="B12" s="26"/>
      <c r="C12" s="117" t="s">
        <v>226</v>
      </c>
      <c r="D12" s="232" t="s">
        <v>185</v>
      </c>
      <c r="E12" s="117">
        <v>1</v>
      </c>
      <c r="F12" s="118">
        <v>1500000</v>
      </c>
    </row>
    <row r="13" spans="1:7">
      <c r="A13" s="26"/>
      <c r="B13" s="26"/>
      <c r="C13" s="117" t="s">
        <v>227</v>
      </c>
      <c r="D13" s="232" t="s">
        <v>185</v>
      </c>
      <c r="E13" s="117">
        <v>1</v>
      </c>
      <c r="F13" s="118">
        <v>2000000</v>
      </c>
    </row>
    <row r="14" spans="1:7">
      <c r="A14" s="26"/>
      <c r="B14" s="26"/>
      <c r="C14" s="117" t="s">
        <v>228</v>
      </c>
      <c r="D14" s="232" t="s">
        <v>185</v>
      </c>
      <c r="E14" s="117">
        <v>1</v>
      </c>
      <c r="F14" s="118">
        <v>1467000</v>
      </c>
    </row>
    <row r="15" spans="1:7">
      <c r="A15" s="26"/>
      <c r="B15" s="26"/>
      <c r="C15" s="117" t="s">
        <v>229</v>
      </c>
      <c r="D15" s="232" t="s">
        <v>185</v>
      </c>
      <c r="E15" s="117">
        <v>1</v>
      </c>
      <c r="F15" s="118">
        <v>3301200</v>
      </c>
    </row>
    <row r="16" spans="1:7">
      <c r="A16" s="26"/>
      <c r="B16" s="26"/>
      <c r="C16" s="117" t="s">
        <v>230</v>
      </c>
      <c r="D16" s="232" t="s">
        <v>185</v>
      </c>
      <c r="E16" s="117">
        <v>1</v>
      </c>
      <c r="F16" s="118">
        <v>700000</v>
      </c>
    </row>
    <row r="17" spans="1:7">
      <c r="A17" s="27" t="s">
        <v>22</v>
      </c>
      <c r="B17" s="27" t="s">
        <v>231</v>
      </c>
      <c r="C17" s="117" t="s">
        <v>232</v>
      </c>
      <c r="D17" s="232" t="s">
        <v>185</v>
      </c>
      <c r="E17" s="117">
        <v>1</v>
      </c>
      <c r="F17" s="118">
        <v>3300000</v>
      </c>
    </row>
    <row r="18" spans="1:7">
      <c r="A18" s="26"/>
      <c r="B18" s="26"/>
      <c r="C18" s="117" t="s">
        <v>233</v>
      </c>
      <c r="D18" s="232" t="s">
        <v>185</v>
      </c>
      <c r="E18" s="117">
        <v>1</v>
      </c>
      <c r="F18" s="118">
        <v>0</v>
      </c>
    </row>
    <row r="19" spans="1:7" s="25" customFormat="1">
      <c r="A19" s="27"/>
      <c r="B19" s="27"/>
      <c r="C19" s="117" t="s">
        <v>234</v>
      </c>
      <c r="D19" s="232" t="s">
        <v>185</v>
      </c>
      <c r="E19" s="117">
        <v>1</v>
      </c>
      <c r="F19" s="118">
        <v>0</v>
      </c>
    </row>
    <row r="20" spans="1:7">
      <c r="A20" s="26"/>
      <c r="B20" s="26"/>
      <c r="C20" s="117" t="s">
        <v>235</v>
      </c>
      <c r="D20" s="232" t="s">
        <v>185</v>
      </c>
      <c r="E20" s="117">
        <v>1</v>
      </c>
      <c r="F20" s="118">
        <v>0</v>
      </c>
    </row>
    <row r="21" spans="1:7">
      <c r="D21" s="23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portrait" scale="100" fitToHeight="1" fitToWidth="1" pageOrder="downThenOver" r:id="rId1"/>
  <headerFooter differentOddEven="false" differentFirst="false" scaleWithDoc="true" alignWithMargins="true">
    <oddHeader/>
    <oddFooter/>
    <evenHeader/>
    <evenFooter/>
    <firstHeader/>
    <first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00B050"/>
    <outlinePr summaryBelow="1" summaryRight="1"/>
  </sheetPr>
  <dimension ref="A1:T21"/>
  <sheetViews>
    <sheetView tabSelected="0" workbookViewId="0" showGridLines="true" showRowColHeaders="1">
      <selection activeCell="R4" sqref="R4"/>
    </sheetView>
  </sheetViews>
  <sheetFormatPr defaultRowHeight="14.4" defaultColWidth="10.83203125" outlineLevelRow="0" outlineLevelCol="0"/>
  <cols>
    <col min="1" max="1" width="2.5" customWidth="true" style="24"/>
    <col min="2" max="2" width="30.83203125" customWidth="true" style="24"/>
    <col min="3" max="3" width="35" customWidth="true" style="24"/>
    <col min="4" max="4" width="19.5" customWidth="true" style="24"/>
    <col min="5" max="5" width="1.83203125" customWidth="true" style="24"/>
    <col min="6" max="6" width="6.83203125" customWidth="true" style="24"/>
    <col min="7" max="7" width="6.83203125" customWidth="true" style="24"/>
    <col min="8" max="8" width="6.83203125" customWidth="true" style="24"/>
    <col min="9" max="9" width="6.83203125" customWidth="true" style="24"/>
    <col min="10" max="10" width="6.83203125" customWidth="true" style="24"/>
    <col min="11" max="11" width="6.83203125" customWidth="true" style="24"/>
    <col min="12" max="12" width="6.83203125" customWidth="true" style="24"/>
    <col min="13" max="13" width="6.83203125" customWidth="true" style="24"/>
    <col min="14" max="14" width="6.83203125" customWidth="true" style="24"/>
    <col min="15" max="15" width="6.83203125" customWidth="true" style="24"/>
    <col min="16" max="16" width="6.83203125" customWidth="true" style="24"/>
    <col min="17" max="17" width="2.1640625" customWidth="true" style="24"/>
    <col min="18" max="18" width="6.83203125" customWidth="true" style="24"/>
    <col min="19" max="19" width="6.83203125" customWidth="true" style="24"/>
    <col min="20" max="20" width="10.83203125" style="24"/>
  </cols>
  <sheetData>
    <row r="1" spans="1:20" customHeight="1" ht="14">
      <c r="A1" s="124" t="s">
        <v>236</v>
      </c>
    </row>
    <row r="2" spans="1:20" customHeight="1" ht="14">
      <c r="A2" s="124"/>
    </row>
    <row r="3" spans="1:20">
      <c r="A3" s="26"/>
      <c r="B3" s="27" t="s">
        <v>213</v>
      </c>
      <c r="C3" s="27" t="s">
        <v>214</v>
      </c>
      <c r="D3" s="27" t="s">
        <v>215</v>
      </c>
      <c r="E3" s="116">
        <v>1</v>
      </c>
      <c r="F3" s="116">
        <v>2</v>
      </c>
      <c r="G3" s="116">
        <v>3</v>
      </c>
      <c r="H3" s="116">
        <v>4</v>
      </c>
      <c r="I3" s="116">
        <v>5</v>
      </c>
      <c r="J3" s="116">
        <v>6</v>
      </c>
      <c r="K3" s="116">
        <v>7</v>
      </c>
      <c r="L3" s="116">
        <v>8</v>
      </c>
      <c r="M3" s="116">
        <v>9</v>
      </c>
      <c r="N3" s="116">
        <v>10</v>
      </c>
      <c r="O3" s="116">
        <v>11</v>
      </c>
      <c r="P3" s="116">
        <v>12</v>
      </c>
      <c r="Q3" s="116" t="s">
        <v>144</v>
      </c>
      <c r="R3" s="116" t="s">
        <v>88</v>
      </c>
      <c r="S3" s="116" t="s">
        <v>89</v>
      </c>
    </row>
    <row r="4" spans="1:20" s="25" customFormat="1">
      <c r="A4" s="27" t="str">
        <f>'5.Inv'!A4</f>
        <v>1.</v>
      </c>
      <c r="B4" s="27" t="str">
        <f>'5.Inv'!B4</f>
        <v>Immobilisations corporelles  bâtiment</v>
      </c>
      <c r="C4" s="27" t="str">
        <f>'5.Inv'!C4</f>
        <v>Aménagement et batiments</v>
      </c>
      <c r="D4" s="26" t="str">
        <f>'5.Inv'!D4</f>
        <v>EMP1</v>
      </c>
      <c r="E4" s="118">
        <v>1</v>
      </c>
      <c r="F4" s="118"/>
      <c r="G4" s="118"/>
      <c r="H4" s="118"/>
      <c r="I4" s="118"/>
      <c r="J4" s="118"/>
      <c r="K4" s="118"/>
      <c r="L4" s="118"/>
      <c r="M4" s="118"/>
      <c r="N4" s="118"/>
      <c r="O4" s="118"/>
      <c r="P4" s="118"/>
      <c r="Q4" s="118">
        <f>SUM(E4:P4)</f>
        <v>1</v>
      </c>
      <c r="R4" s="118"/>
      <c r="S4" s="118"/>
    </row>
    <row r="5" spans="1:20">
      <c r="A5" s="26">
        <f>'5.Inv'!A5</f>
        <v/>
      </c>
      <c r="B5" s="26">
        <f>'5.Inv'!B5</f>
        <v/>
      </c>
      <c r="C5" s="26" t="str">
        <f>'5.Inv'!C5</f>
        <v>Aménagement entrepôt</v>
      </c>
      <c r="D5" s="26" t="str">
        <f>'5.Inv'!D5</f>
        <v>EMP1</v>
      </c>
      <c r="E5" s="118">
        <v>1</v>
      </c>
      <c r="F5" s="118"/>
      <c r="G5" s="118"/>
      <c r="H5" s="118"/>
      <c r="I5" s="118"/>
      <c r="J5" s="118"/>
      <c r="K5" s="118"/>
      <c r="L5" s="118"/>
      <c r="M5" s="118"/>
      <c r="N5" s="118"/>
      <c r="O5" s="118"/>
      <c r="P5" s="118"/>
      <c r="Q5" s="118">
        <f>SUM(E5:P5)</f>
        <v>1</v>
      </c>
      <c r="R5" s="118"/>
      <c r="S5" s="118"/>
    </row>
    <row r="6" spans="1:20">
      <c r="A6" s="27" t="str">
        <f>'5.Inv'!A6</f>
        <v>2.</v>
      </c>
      <c r="B6" s="27" t="str">
        <f>'5.Inv'!B6</f>
        <v>Immobilisation corporelle véhicules</v>
      </c>
      <c r="C6" s="27" t="str">
        <f>'5.Inv'!C6</f>
        <v>Véhicules de liaison</v>
      </c>
      <c r="D6" s="26" t="str">
        <f>'5.Inv'!D6</f>
        <v>EMP1</v>
      </c>
      <c r="E6" s="118">
        <v>1</v>
      </c>
      <c r="F6" s="118"/>
      <c r="G6" s="118"/>
      <c r="H6" s="118"/>
      <c r="I6" s="118"/>
      <c r="J6" s="118"/>
      <c r="K6" s="118"/>
      <c r="L6" s="118"/>
      <c r="M6" s="118"/>
      <c r="N6" s="118"/>
      <c r="O6" s="118"/>
      <c r="P6" s="118"/>
      <c r="Q6" s="118">
        <f>SUM(E6:P6)</f>
        <v>1</v>
      </c>
      <c r="R6" s="118"/>
      <c r="S6" s="118"/>
    </row>
    <row r="7" spans="1:20">
      <c r="A7" s="26">
        <f>'5.Inv'!A7</f>
        <v/>
      </c>
      <c r="B7" s="26">
        <f>'5.Inv'!B7</f>
        <v/>
      </c>
      <c r="C7" s="26" t="str">
        <f>'5.Inv'!C7</f>
        <v>Véhicules de bureau</v>
      </c>
      <c r="D7" s="26" t="str">
        <f>'5.Inv'!D7</f>
        <v>EMP1</v>
      </c>
      <c r="E7" s="118">
        <v>1</v>
      </c>
      <c r="F7" s="118"/>
      <c r="G7" s="118"/>
      <c r="H7" s="118"/>
      <c r="I7" s="118"/>
      <c r="J7" s="118"/>
      <c r="K7" s="118"/>
      <c r="L7" s="118"/>
      <c r="M7" s="118"/>
      <c r="N7" s="118"/>
      <c r="O7" s="118"/>
      <c r="P7" s="118"/>
      <c r="Q7" s="118">
        <f>SUM(E7:P7)</f>
        <v>1</v>
      </c>
      <c r="R7" s="118"/>
      <c r="S7" s="118"/>
    </row>
    <row r="8" spans="1:20">
      <c r="A8" s="26">
        <f>'5.Inv'!A8</f>
        <v/>
      </c>
      <c r="B8" s="26">
        <f>'5.Inv'!B8</f>
        <v/>
      </c>
      <c r="C8" s="26" t="str">
        <f>'5.Inv'!C8</f>
        <v>Véhicule administratif</v>
      </c>
      <c r="D8" s="26" t="str">
        <f>'5.Inv'!D8</f>
        <v>EMP1</v>
      </c>
      <c r="E8" s="118">
        <v>1</v>
      </c>
      <c r="F8" s="118"/>
      <c r="G8" s="118"/>
      <c r="H8" s="118"/>
      <c r="I8" s="118"/>
      <c r="J8" s="118"/>
      <c r="K8" s="118"/>
      <c r="L8" s="118"/>
      <c r="M8" s="118"/>
      <c r="N8" s="118"/>
      <c r="O8" s="118"/>
      <c r="P8" s="118"/>
      <c r="Q8" s="118">
        <f>SUM(E8:P8)</f>
        <v>1</v>
      </c>
      <c r="R8" s="118"/>
      <c r="S8" s="118"/>
    </row>
    <row r="9" spans="1:20">
      <c r="A9" s="27" t="str">
        <f>'5.Inv'!A9</f>
        <v>3.</v>
      </c>
      <c r="B9" s="27" t="str">
        <f>'5.Inv'!B9</f>
        <v>Autres immobilisations corporelles matériel de travail</v>
      </c>
      <c r="C9" s="27" t="str">
        <f>'5.Inv'!C9</f>
        <v>Bureau (Fauteuil + table)</v>
      </c>
      <c r="D9" s="26" t="str">
        <f>'5.Inv'!D9</f>
        <v>EMP1</v>
      </c>
      <c r="E9" s="118">
        <v>1</v>
      </c>
      <c r="F9" s="118"/>
      <c r="G9" s="118"/>
      <c r="H9" s="118"/>
      <c r="I9" s="118"/>
      <c r="J9" s="118"/>
      <c r="K9" s="118"/>
      <c r="L9" s="118"/>
      <c r="M9" s="118"/>
      <c r="N9" s="118"/>
      <c r="O9" s="118"/>
      <c r="P9" s="118"/>
      <c r="Q9" s="118">
        <f>SUM(E9:P9)</f>
        <v>1</v>
      </c>
      <c r="R9" s="118"/>
      <c r="S9" s="118"/>
    </row>
    <row r="10" spans="1:20" s="25" customFormat="1">
      <c r="A10" s="27">
        <f>'5.Inv'!A10</f>
        <v/>
      </c>
      <c r="B10" s="27">
        <f>'5.Inv'!B10</f>
        <v/>
      </c>
      <c r="C10" s="27" t="str">
        <f>'5.Inv'!C10</f>
        <v>Mobilier et matériel de bureau</v>
      </c>
      <c r="D10" s="26" t="str">
        <f>'5.Inv'!D10</f>
        <v>EMP1</v>
      </c>
      <c r="E10" s="118">
        <v>1</v>
      </c>
      <c r="F10" s="118"/>
      <c r="G10" s="118"/>
      <c r="H10" s="118"/>
      <c r="I10" s="118"/>
      <c r="J10" s="118"/>
      <c r="K10" s="118"/>
      <c r="L10" s="118"/>
      <c r="M10" s="118"/>
      <c r="N10" s="118"/>
      <c r="O10" s="118"/>
      <c r="P10" s="118"/>
      <c r="Q10" s="118">
        <f>SUM(E10:P10)</f>
        <v>1</v>
      </c>
      <c r="R10" s="118"/>
      <c r="S10" s="118"/>
    </row>
    <row r="11" spans="1:20">
      <c r="A11" s="26">
        <f>'5.Inv'!A11</f>
        <v/>
      </c>
      <c r="B11" s="26">
        <f>'5.Inv'!B11</f>
        <v/>
      </c>
      <c r="C11" s="26" t="str">
        <f>'5.Inv'!C11</f>
        <v>Bureau (Fauteuil + table)</v>
      </c>
      <c r="D11" s="26" t="str">
        <f>'5.Inv'!D11</f>
        <v>EMP1</v>
      </c>
      <c r="E11" s="118">
        <v>1</v>
      </c>
      <c r="F11" s="118"/>
      <c r="G11" s="118"/>
      <c r="H11" s="118"/>
      <c r="I11" s="118"/>
      <c r="J11" s="118"/>
      <c r="K11" s="118"/>
      <c r="L11" s="118"/>
      <c r="M11" s="118"/>
      <c r="N11" s="118"/>
      <c r="O11" s="118"/>
      <c r="P11" s="118"/>
      <c r="Q11" s="118">
        <f>SUM(E11:P11)</f>
        <v>1</v>
      </c>
      <c r="R11" s="118"/>
      <c r="S11" s="118"/>
    </row>
    <row r="12" spans="1:20">
      <c r="A12" s="26">
        <f>'5.Inv'!A12</f>
        <v/>
      </c>
      <c r="B12" s="26">
        <f>'5.Inv'!B12</f>
        <v/>
      </c>
      <c r="C12" s="26" t="str">
        <f>'5.Inv'!C12</f>
        <v>Ordinateur PRO</v>
      </c>
      <c r="D12" s="26" t="str">
        <f>'5.Inv'!D12</f>
        <v>EMP1</v>
      </c>
      <c r="E12" s="118">
        <v>1</v>
      </c>
      <c r="F12" s="118"/>
      <c r="G12" s="118"/>
      <c r="H12" s="118"/>
      <c r="I12" s="118"/>
      <c r="J12" s="118"/>
      <c r="K12" s="118"/>
      <c r="L12" s="118"/>
      <c r="M12" s="118"/>
      <c r="N12" s="118"/>
      <c r="O12" s="118"/>
      <c r="P12" s="118"/>
      <c r="Q12" s="118">
        <f>SUM(E12:P12)</f>
        <v>1</v>
      </c>
      <c r="R12" s="118"/>
      <c r="S12" s="118"/>
    </row>
    <row r="13" spans="1:20">
      <c r="A13" s="26">
        <f>'5.Inv'!A13</f>
        <v/>
      </c>
      <c r="B13" s="26">
        <f>'5.Inv'!B13</f>
        <v/>
      </c>
      <c r="C13" s="26" t="str">
        <f>'5.Inv'!C13</f>
        <v>Serveur</v>
      </c>
      <c r="D13" s="26" t="str">
        <f>'5.Inv'!D13</f>
        <v>EMP1</v>
      </c>
      <c r="E13" s="118">
        <v>1</v>
      </c>
      <c r="F13" s="118"/>
      <c r="G13" s="118"/>
      <c r="H13" s="118"/>
      <c r="I13" s="118"/>
      <c r="J13" s="118"/>
      <c r="K13" s="118"/>
      <c r="L13" s="118"/>
      <c r="M13" s="118"/>
      <c r="N13" s="118"/>
      <c r="O13" s="118"/>
      <c r="P13" s="118"/>
      <c r="Q13" s="118">
        <f>SUM(E13:P13)</f>
        <v>1</v>
      </c>
      <c r="R13" s="118"/>
      <c r="S13" s="118"/>
    </row>
    <row r="14" spans="1:20">
      <c r="A14" s="26">
        <f>'5.Inv'!A14</f>
        <v/>
      </c>
      <c r="B14" s="26">
        <f>'5.Inv'!B14</f>
        <v/>
      </c>
      <c r="C14" s="26" t="str">
        <f>'5.Inv'!C14</f>
        <v>CANON EOS 80 D + objectif 18-135mm IS USM</v>
      </c>
      <c r="D14" s="26" t="str">
        <f>'5.Inv'!D14</f>
        <v>EMP1</v>
      </c>
      <c r="E14" s="118">
        <v>1</v>
      </c>
      <c r="F14" s="118"/>
      <c r="G14" s="118"/>
      <c r="H14" s="118"/>
      <c r="I14" s="118"/>
      <c r="J14" s="118"/>
      <c r="K14" s="118"/>
      <c r="L14" s="118"/>
      <c r="M14" s="118"/>
      <c r="N14" s="118"/>
      <c r="O14" s="118"/>
      <c r="P14" s="118"/>
      <c r="Q14" s="118">
        <f>SUM(E14:P14)</f>
        <v>1</v>
      </c>
      <c r="R14" s="118"/>
      <c r="S14" s="118"/>
    </row>
    <row r="15" spans="1:20">
      <c r="A15" s="26"/>
      <c r="B15" s="26"/>
      <c r="C15" s="26" t="str">
        <f>'5.Inv'!C15</f>
        <v>Boîtier Canon EOS 5D Mark IV</v>
      </c>
      <c r="D15" s="26" t="str">
        <f>'5.Inv'!D15</f>
        <v>EMP1</v>
      </c>
      <c r="E15" s="118">
        <v>1</v>
      </c>
      <c r="F15" s="118"/>
      <c r="G15" s="118"/>
      <c r="H15" s="118"/>
      <c r="I15" s="118"/>
      <c r="J15" s="118"/>
      <c r="K15" s="118"/>
      <c r="L15" s="118"/>
      <c r="M15" s="118"/>
      <c r="N15" s="118"/>
      <c r="O15" s="118"/>
      <c r="P15" s="118"/>
      <c r="Q15" s="118"/>
      <c r="R15" s="118"/>
      <c r="S15" s="118"/>
    </row>
    <row r="16" spans="1:20">
      <c r="A16" s="26">
        <f>'5.Inv'!A16</f>
        <v/>
      </c>
      <c r="B16" s="26">
        <f>'5.Inv'!B16</f>
        <v/>
      </c>
      <c r="C16" s="26" t="str">
        <f>'5.Inv'!C16</f>
        <v>Photocopieuse + Imprimante</v>
      </c>
      <c r="D16" s="26" t="str">
        <f>'5.Inv'!D16</f>
        <v>EMP1</v>
      </c>
      <c r="E16" s="118">
        <v>1</v>
      </c>
      <c r="F16" s="118"/>
      <c r="G16" s="118"/>
      <c r="H16" s="118"/>
      <c r="I16" s="118"/>
      <c r="J16" s="118"/>
      <c r="K16" s="118"/>
      <c r="L16" s="118"/>
      <c r="M16" s="118"/>
      <c r="N16" s="118"/>
      <c r="O16" s="118"/>
      <c r="P16" s="118"/>
      <c r="Q16" s="118">
        <f>SUM(E16:P16)</f>
        <v>1</v>
      </c>
      <c r="R16" s="118"/>
      <c r="S16" s="118"/>
    </row>
    <row r="17" spans="1:20">
      <c r="A17" s="27" t="str">
        <f>'5.Inv'!A17</f>
        <v>4.</v>
      </c>
      <c r="B17" s="27" t="str">
        <f>'5.Inv'!B17</f>
        <v>Immobilisation incorporelles</v>
      </c>
      <c r="C17" s="27" t="str">
        <f>'5.Inv'!C17</f>
        <v>Caution et avance loyer</v>
      </c>
      <c r="D17" s="26" t="str">
        <f>'5.Inv'!D17</f>
        <v>EMP1</v>
      </c>
      <c r="E17" s="118">
        <v>1</v>
      </c>
      <c r="F17" s="118"/>
      <c r="G17" s="118"/>
      <c r="H17" s="118"/>
      <c r="I17" s="118"/>
      <c r="J17" s="118"/>
      <c r="K17" s="118"/>
      <c r="L17" s="118"/>
      <c r="M17" s="118"/>
      <c r="N17" s="118"/>
      <c r="O17" s="118"/>
      <c r="P17" s="118"/>
      <c r="Q17" s="118">
        <f>SUM(E17:P17)</f>
        <v>1</v>
      </c>
      <c r="R17" s="118"/>
      <c r="S17" s="118"/>
    </row>
    <row r="18" spans="1:20">
      <c r="A18" s="26">
        <f>'5.Inv'!A18</f>
        <v/>
      </c>
      <c r="B18" s="26">
        <f>'5.Inv'!B18</f>
        <v/>
      </c>
      <c r="C18" s="26" t="str">
        <f>'5.Inv'!C18</f>
        <v>Branchement Téléphone et internet</v>
      </c>
      <c r="D18" s="26" t="str">
        <f>'5.Inv'!D18</f>
        <v>EMP1</v>
      </c>
      <c r="E18" s="118">
        <v>1</v>
      </c>
      <c r="F18" s="118"/>
      <c r="G18" s="118"/>
      <c r="H18" s="118"/>
      <c r="I18" s="118"/>
      <c r="J18" s="118"/>
      <c r="K18" s="118"/>
      <c r="L18" s="118"/>
      <c r="M18" s="118"/>
      <c r="N18" s="118"/>
      <c r="O18" s="118"/>
      <c r="P18" s="118"/>
      <c r="Q18" s="118">
        <f>SUM(E18:P18)</f>
        <v>1</v>
      </c>
      <c r="R18" s="118"/>
      <c r="S18" s="118"/>
    </row>
    <row r="19" spans="1:20" s="25" customFormat="1">
      <c r="A19" s="26">
        <f>'5.Inv'!A19</f>
        <v/>
      </c>
      <c r="B19" s="26">
        <f>'5.Inv'!B19</f>
        <v/>
      </c>
      <c r="C19" s="26" t="str">
        <f>'5.Inv'!C19</f>
        <v>Branchement CIE et SODECI</v>
      </c>
      <c r="D19" s="26" t="str">
        <f>'5.Inv'!D19</f>
        <v>EMP1</v>
      </c>
      <c r="E19" s="118"/>
      <c r="F19" s="118"/>
      <c r="G19" s="118"/>
      <c r="H19" s="118"/>
      <c r="I19" s="118"/>
      <c r="J19" s="118"/>
      <c r="K19" s="118"/>
      <c r="L19" s="118"/>
      <c r="M19" s="118"/>
      <c r="N19" s="118"/>
      <c r="O19" s="118"/>
      <c r="P19" s="118"/>
      <c r="Q19" s="118">
        <f>SUM(E19:P19)</f>
        <v>0</v>
      </c>
      <c r="R19" s="118"/>
      <c r="S19" s="118"/>
    </row>
    <row r="20" spans="1:20">
      <c r="A20" s="26">
        <f>'5.Inv'!A20</f>
        <v/>
      </c>
      <c r="B20" s="26">
        <f>'5.Inv'!B20</f>
        <v/>
      </c>
      <c r="C20" s="26" t="str">
        <f>'5.Inv'!C20</f>
        <v>Bail foncier</v>
      </c>
      <c r="D20" s="26" t="str">
        <f>'5.Inv'!D20</f>
        <v>EMP1</v>
      </c>
      <c r="E20" s="118"/>
      <c r="F20" s="118"/>
      <c r="G20" s="118"/>
      <c r="H20" s="118"/>
      <c r="I20" s="118"/>
      <c r="J20" s="118"/>
      <c r="K20" s="118"/>
      <c r="L20" s="118"/>
      <c r="M20" s="118"/>
      <c r="N20" s="118"/>
      <c r="O20" s="118"/>
      <c r="P20" s="118"/>
      <c r="Q20" s="118">
        <f>SUM(E20:P20)</f>
        <v>0</v>
      </c>
      <c r="R20" s="118"/>
      <c r="S20" s="118"/>
    </row>
    <row r="21" spans="1:20">
      <c r="A21" s="27"/>
      <c r="B21" s="27" t="s">
        <v>66</v>
      </c>
      <c r="C21" s="26"/>
      <c r="D21" s="86"/>
      <c r="E21" s="31">
        <f>AVERAGE(E4:E20)</f>
        <v>1</v>
      </c>
      <c r="F21" s="31" t="e">
        <f>AVERAGE(F4:F20)</f>
        <v>#DIV/0!</v>
      </c>
      <c r="G21" s="31" t="e">
        <f>AVERAGE(G4:G20)</f>
        <v>#DIV/0!</v>
      </c>
      <c r="H21" s="31" t="e">
        <f>AVERAGE(H4:H20)</f>
        <v>#DIV/0!</v>
      </c>
      <c r="I21" s="31" t="e">
        <f>AVERAGE(I4:I20)</f>
        <v>#DIV/0!</v>
      </c>
      <c r="J21" s="31" t="e">
        <f>AVERAGE(J4:J20)</f>
        <v>#DIV/0!</v>
      </c>
      <c r="K21" s="31" t="e">
        <f>AVERAGE(K4:K20)</f>
        <v>#DIV/0!</v>
      </c>
      <c r="L21" s="31" t="e">
        <f>AVERAGE(L4:L20)</f>
        <v>#DIV/0!</v>
      </c>
      <c r="M21" s="31" t="e">
        <f>AVERAGE(M4:M20)</f>
        <v>#DIV/0!</v>
      </c>
      <c r="N21" s="31" t="e">
        <f>AVERAGE(N4:N20)</f>
        <v>#DIV/0!</v>
      </c>
      <c r="O21" s="31" t="e">
        <f>AVERAGE(O4:O20)</f>
        <v>#DIV/0!</v>
      </c>
      <c r="P21" s="31" t="e">
        <f>AVERAGE(P4:P20)</f>
        <v>#DIV/0!</v>
      </c>
      <c r="Q21" s="31">
        <f>AVERAGE(Q4:Q20)</f>
        <v>0.875</v>
      </c>
      <c r="R21" s="31" t="e">
        <f>AVERAGE(R4:R20)</f>
        <v>#DIV/0!</v>
      </c>
      <c r="S21" s="31" t="e">
        <f>AVERAGE(S4:S20)</f>
        <v>#DIV/0!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portrait" scale="100" fitToHeight="1" fitToWidth="1" pageOrder="downThenOver" r:id="rId1"/>
  <headerFooter differentOddEven="false" differentFirst="false" scaleWithDoc="true" alignWithMargins="true">
    <oddHeader/>
    <oddFooter/>
    <evenHeader/>
    <evenFooter/>
    <firstHeader/>
    <first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00B050"/>
    <outlinePr summaryBelow="1" summaryRight="1"/>
  </sheetPr>
  <dimension ref="A1:T22"/>
  <sheetViews>
    <sheetView tabSelected="0" workbookViewId="0" showGridLines="true" showRowColHeaders="1">
      <selection activeCell="C10" sqref="C10:S17"/>
    </sheetView>
  </sheetViews>
  <sheetFormatPr defaultRowHeight="14.4" defaultColWidth="10.83203125" outlineLevelRow="0" outlineLevelCol="1"/>
  <cols>
    <col min="1" max="1" width="2.5" customWidth="true" style="24"/>
    <col min="2" max="2" width="30.83203125" customWidth="true" style="24"/>
    <col min="3" max="3" width="35" customWidth="true" style="24"/>
    <col min="4" max="4" width="19.5" customWidth="true" style="24"/>
    <col min="5" max="5" width="9.83203125" hidden="true" customWidth="true" outlineLevel="1" style="24"/>
    <col min="6" max="6" width="6.83203125" hidden="true" customWidth="true" outlineLevel="1" style="24"/>
    <col min="7" max="7" width="6.83203125" hidden="true" customWidth="true" outlineLevel="1" style="24"/>
    <col min="8" max="8" width="6.83203125" hidden="true" customWidth="true" outlineLevel="1" style="24"/>
    <col min="9" max="9" width="6.83203125" hidden="true" customWidth="true" outlineLevel="1" style="24"/>
    <col min="10" max="10" width="6.83203125" hidden="true" customWidth="true" outlineLevel="1" style="24"/>
    <col min="11" max="11" width="6.83203125" hidden="true" customWidth="true" outlineLevel="1" style="24"/>
    <col min="12" max="12" width="6.83203125" hidden="true" customWidth="true" outlineLevel="1" style="24"/>
    <col min="13" max="13" width="6.83203125" hidden="true" customWidth="true" outlineLevel="1" style="24"/>
    <col min="14" max="14" width="6.83203125" hidden="true" customWidth="true" outlineLevel="1" style="24"/>
    <col min="15" max="15" width="6.83203125" hidden="true" customWidth="true" outlineLevel="1" style="24"/>
    <col min="16" max="16" width="6.83203125" hidden="true" customWidth="true" outlineLevel="1" style="24"/>
    <col min="17" max="17" width="9.83203125" customWidth="true" collapsed="true" style="24"/>
    <col min="18" max="18" width="6.83203125" customWidth="true" style="24"/>
    <col min="19" max="19" width="6.83203125" customWidth="true" style="24"/>
    <col min="20" max="20" width="10.83203125" style="24"/>
  </cols>
  <sheetData>
    <row r="1" spans="1:20" customHeight="1" ht="14">
      <c r="A1" s="124" t="s">
        <v>237</v>
      </c>
    </row>
    <row r="2" spans="1:20" customHeight="1" ht="14">
      <c r="A2" s="124"/>
    </row>
    <row r="3" spans="1:20">
      <c r="A3" s="26"/>
      <c r="B3" s="27" t="s">
        <v>213</v>
      </c>
      <c r="C3" s="27" t="s">
        <v>238</v>
      </c>
      <c r="D3" s="27" t="s">
        <v>215</v>
      </c>
      <c r="E3" s="27">
        <v>1</v>
      </c>
      <c r="F3" s="27">
        <v>2</v>
      </c>
      <c r="G3" s="27">
        <v>3</v>
      </c>
      <c r="H3" s="27">
        <v>4</v>
      </c>
      <c r="I3" s="27">
        <v>5</v>
      </c>
      <c r="J3" s="27">
        <v>6</v>
      </c>
      <c r="K3" s="27">
        <v>7</v>
      </c>
      <c r="L3" s="27">
        <v>8</v>
      </c>
      <c r="M3" s="27">
        <v>9</v>
      </c>
      <c r="N3" s="27">
        <v>10</v>
      </c>
      <c r="O3" s="27">
        <v>11</v>
      </c>
      <c r="P3" s="27">
        <v>12</v>
      </c>
      <c r="Q3" s="27" t="s">
        <v>144</v>
      </c>
      <c r="R3" s="27" t="s">
        <v>88</v>
      </c>
      <c r="S3" s="27" t="s">
        <v>89</v>
      </c>
    </row>
    <row r="4" spans="1:20" s="25" customFormat="1">
      <c r="A4" s="27" t="str">
        <f>'5.Inv'!A4</f>
        <v>1.</v>
      </c>
      <c r="B4" s="27" t="str">
        <f>'5.Inv'!B4</f>
        <v>Immobilisations corporelles  bâtiment</v>
      </c>
      <c r="C4" s="26" t="str">
        <f>'5.Inv'!C4</f>
        <v>Aménagement et batiments</v>
      </c>
      <c r="D4" s="26" t="str">
        <f>'5.Inv'!D4</f>
        <v>EMP1</v>
      </c>
      <c r="E4" s="31">
        <f>'5.Inv'!$E4*'5.Inv'!$F4*'6.Var.Inv'!E4</f>
        <v>2500000</v>
      </c>
      <c r="F4" s="31">
        <f>'5.Inv'!$E4*'5.Inv'!$F4*'6.Var.Inv'!F4</f>
        <v>0</v>
      </c>
      <c r="G4" s="31">
        <f>'5.Inv'!$E4*'5.Inv'!$F4*'6.Var.Inv'!G4</f>
        <v>0</v>
      </c>
      <c r="H4" s="31">
        <f>'5.Inv'!$E4*'5.Inv'!$F4*'6.Var.Inv'!H4</f>
        <v>0</v>
      </c>
      <c r="I4" s="31">
        <f>'5.Inv'!$E4*'5.Inv'!$F4*'6.Var.Inv'!I4</f>
        <v>0</v>
      </c>
      <c r="J4" s="31">
        <f>'5.Inv'!$E4*'5.Inv'!$F4*'6.Var.Inv'!J4</f>
        <v>0</v>
      </c>
      <c r="K4" s="31">
        <f>'5.Inv'!$E4*'5.Inv'!$F4*'6.Var.Inv'!K4</f>
        <v>0</v>
      </c>
      <c r="L4" s="31">
        <f>'5.Inv'!$E4*'5.Inv'!$F4*'6.Var.Inv'!L4</f>
        <v>0</v>
      </c>
      <c r="M4" s="31">
        <f>'5.Inv'!$E4*'5.Inv'!$F4*'6.Var.Inv'!M4</f>
        <v>0</v>
      </c>
      <c r="N4" s="31">
        <f>'5.Inv'!$E4*'5.Inv'!$F4*'6.Var.Inv'!N4</f>
        <v>0</v>
      </c>
      <c r="O4" s="31">
        <f>'5.Inv'!$E4*'5.Inv'!$F4*'6.Var.Inv'!O4</f>
        <v>0</v>
      </c>
      <c r="P4" s="31">
        <f>'5.Inv'!$E4*'5.Inv'!$F4*'6.Var.Inv'!P4</f>
        <v>0</v>
      </c>
      <c r="Q4" s="31">
        <f>SUM(E4:P4)</f>
        <v>2500000</v>
      </c>
      <c r="R4" s="31">
        <f>'5.Inv'!$E4*'5.Inv'!$F4*'6.Var.Inv'!R4</f>
        <v>0</v>
      </c>
      <c r="S4" s="31">
        <f>'5.Inv'!$E4*'5.Inv'!$F4*'6.Var.Inv'!S4</f>
        <v>0</v>
      </c>
    </row>
    <row r="5" spans="1:20" s="25" customFormat="1">
      <c r="A5" s="27"/>
      <c r="B5" s="27"/>
      <c r="C5" s="26"/>
      <c r="D5" s="26"/>
      <c r="E5" s="31"/>
      <c r="F5" s="31"/>
      <c r="G5" s="31"/>
      <c r="H5" s="31"/>
      <c r="I5" s="31"/>
      <c r="J5" s="31"/>
      <c r="K5" s="31"/>
      <c r="L5" s="31"/>
      <c r="M5" s="31"/>
      <c r="N5" s="31"/>
      <c r="O5" s="31"/>
      <c r="P5" s="31"/>
      <c r="Q5" s="31"/>
      <c r="R5" s="31"/>
      <c r="S5" s="31"/>
    </row>
    <row r="6" spans="1:20">
      <c r="A6" s="27">
        <f>'5.Inv'!A5</f>
        <v/>
      </c>
      <c r="B6" s="27">
        <f>'5.Inv'!B5</f>
        <v/>
      </c>
      <c r="C6" s="26" t="str">
        <f>'5.Inv'!C5</f>
        <v>Aménagement entrepôt</v>
      </c>
      <c r="D6" s="26" t="str">
        <f>'5.Inv'!D5</f>
        <v>EMP1</v>
      </c>
      <c r="E6" s="31">
        <f>'5.Inv'!$E5*'5.Inv'!$F5*'6.Var.Inv'!E5</f>
        <v>2500000</v>
      </c>
      <c r="F6" s="31">
        <f>'5.Inv'!$E5*'5.Inv'!$F5*'6.Var.Inv'!F5</f>
        <v>0</v>
      </c>
      <c r="G6" s="31">
        <f>'5.Inv'!$E5*'5.Inv'!$F5*'6.Var.Inv'!G5</f>
        <v>0</v>
      </c>
      <c r="H6" s="31">
        <f>'5.Inv'!$E5*'5.Inv'!$F5*'6.Var.Inv'!H5</f>
        <v>0</v>
      </c>
      <c r="I6" s="31">
        <f>'5.Inv'!$E5*'5.Inv'!$F5*'6.Var.Inv'!I5</f>
        <v>0</v>
      </c>
      <c r="J6" s="31">
        <f>'5.Inv'!$E5*'5.Inv'!$F5*'6.Var.Inv'!J5</f>
        <v>0</v>
      </c>
      <c r="K6" s="31">
        <f>'5.Inv'!$E5*'5.Inv'!$F5*'6.Var.Inv'!K5</f>
        <v>0</v>
      </c>
      <c r="L6" s="31">
        <f>'5.Inv'!$E5*'5.Inv'!$F5*'6.Var.Inv'!L5</f>
        <v>0</v>
      </c>
      <c r="M6" s="31">
        <f>'5.Inv'!$E5*'5.Inv'!$F5*'6.Var.Inv'!M5</f>
        <v>0</v>
      </c>
      <c r="N6" s="31">
        <f>'5.Inv'!$E5*'5.Inv'!$F5*'6.Var.Inv'!N5</f>
        <v>0</v>
      </c>
      <c r="O6" s="31">
        <f>'5.Inv'!$E5*'5.Inv'!$F5*'6.Var.Inv'!O5</f>
        <v>0</v>
      </c>
      <c r="P6" s="31">
        <f>'5.Inv'!$E5*'5.Inv'!$F5*'6.Var.Inv'!P5</f>
        <v>0</v>
      </c>
      <c r="Q6" s="31">
        <f>SUM(E6:P6)</f>
        <v>2500000</v>
      </c>
      <c r="R6" s="31">
        <f>'5.Inv'!$E5*'5.Inv'!$F5*'6.Var.Inv'!R5</f>
        <v>0</v>
      </c>
      <c r="S6" s="31">
        <f>'5.Inv'!$E5*'5.Inv'!$F5*'6.Var.Inv'!S5</f>
        <v>0</v>
      </c>
    </row>
    <row r="7" spans="1:20">
      <c r="A7" s="27" t="str">
        <f>'5.Inv'!A6</f>
        <v>2.</v>
      </c>
      <c r="B7" s="27" t="str">
        <f>'5.Inv'!B6</f>
        <v>Immobilisation corporelle véhicules</v>
      </c>
      <c r="C7" s="26" t="str">
        <f>'5.Inv'!C6</f>
        <v>Véhicules de liaison</v>
      </c>
      <c r="D7" s="26" t="str">
        <f>'5.Inv'!D6</f>
        <v>EMP1</v>
      </c>
      <c r="E7" s="31">
        <f>'5.Inv'!$E6*'5.Inv'!$F6*'6.Var.Inv'!E6</f>
        <v>5000000</v>
      </c>
      <c r="F7" s="31">
        <f>'5.Inv'!$E6*'5.Inv'!$F6*'6.Var.Inv'!F6</f>
        <v>0</v>
      </c>
      <c r="G7" s="31">
        <f>'5.Inv'!$E6*'5.Inv'!$F6*'6.Var.Inv'!G6</f>
        <v>0</v>
      </c>
      <c r="H7" s="31">
        <f>'5.Inv'!$E6*'5.Inv'!$F6*'6.Var.Inv'!H6</f>
        <v>0</v>
      </c>
      <c r="I7" s="31">
        <f>'5.Inv'!$E6*'5.Inv'!$F6*'6.Var.Inv'!I6</f>
        <v>0</v>
      </c>
      <c r="J7" s="31">
        <f>'5.Inv'!$E6*'5.Inv'!$F6*'6.Var.Inv'!J6</f>
        <v>0</v>
      </c>
      <c r="K7" s="31">
        <f>'5.Inv'!$E6*'5.Inv'!$F6*'6.Var.Inv'!K6</f>
        <v>0</v>
      </c>
      <c r="L7" s="31">
        <f>'5.Inv'!$E6*'5.Inv'!$F6*'6.Var.Inv'!L6</f>
        <v>0</v>
      </c>
      <c r="M7" s="31">
        <f>'5.Inv'!$E6*'5.Inv'!$F6*'6.Var.Inv'!M6</f>
        <v>0</v>
      </c>
      <c r="N7" s="31">
        <f>'5.Inv'!$E6*'5.Inv'!$F6*'6.Var.Inv'!N6</f>
        <v>0</v>
      </c>
      <c r="O7" s="31">
        <f>'5.Inv'!$E6*'5.Inv'!$F6*'6.Var.Inv'!O6</f>
        <v>0</v>
      </c>
      <c r="P7" s="31">
        <f>'5.Inv'!$E6*'5.Inv'!$F6*'6.Var.Inv'!P6</f>
        <v>0</v>
      </c>
      <c r="Q7" s="31">
        <f>SUM(E7:P7)</f>
        <v>5000000</v>
      </c>
      <c r="R7" s="31">
        <f>'5.Inv'!$E6*'5.Inv'!$F6*'6.Var.Inv'!R6</f>
        <v>0</v>
      </c>
      <c r="S7" s="31">
        <f>'5.Inv'!$E6*'5.Inv'!$F6*'6.Var.Inv'!S6</f>
        <v>0</v>
      </c>
    </row>
    <row r="8" spans="1:20">
      <c r="A8" s="27">
        <f>'5.Inv'!A7</f>
        <v/>
      </c>
      <c r="B8" s="27">
        <f>'5.Inv'!B7</f>
        <v/>
      </c>
      <c r="C8" s="26" t="str">
        <f>'5.Inv'!C7</f>
        <v>Véhicules de bureau</v>
      </c>
      <c r="D8" s="26" t="str">
        <f>'5.Inv'!D7</f>
        <v>EMP1</v>
      </c>
      <c r="E8" s="31">
        <f>'5.Inv'!$E7*'5.Inv'!$F7*'6.Var.Inv'!E7</f>
        <v>0</v>
      </c>
      <c r="F8" s="31">
        <f>'5.Inv'!$E7*'5.Inv'!$F7*'6.Var.Inv'!F7</f>
        <v>0</v>
      </c>
      <c r="G8" s="31">
        <f>'5.Inv'!$E7*'5.Inv'!$F7*'6.Var.Inv'!G7</f>
        <v>0</v>
      </c>
      <c r="H8" s="31">
        <f>'5.Inv'!$E7*'5.Inv'!$F7*'6.Var.Inv'!H7</f>
        <v>0</v>
      </c>
      <c r="I8" s="31">
        <f>'5.Inv'!$E7*'5.Inv'!$F7*'6.Var.Inv'!I7</f>
        <v>0</v>
      </c>
      <c r="J8" s="31">
        <f>'5.Inv'!$E7*'5.Inv'!$F7*'6.Var.Inv'!J7</f>
        <v>0</v>
      </c>
      <c r="K8" s="31">
        <f>'5.Inv'!$E7*'5.Inv'!$F7*'6.Var.Inv'!K7</f>
        <v>0</v>
      </c>
      <c r="L8" s="31">
        <f>'5.Inv'!$E7*'5.Inv'!$F7*'6.Var.Inv'!L7</f>
        <v>0</v>
      </c>
      <c r="M8" s="31">
        <f>'5.Inv'!$E7*'5.Inv'!$F7*'6.Var.Inv'!M7</f>
        <v>0</v>
      </c>
      <c r="N8" s="31">
        <f>'5.Inv'!$E7*'5.Inv'!$F7*'6.Var.Inv'!N7</f>
        <v>0</v>
      </c>
      <c r="O8" s="31">
        <f>'5.Inv'!$E7*'5.Inv'!$F7*'6.Var.Inv'!O7</f>
        <v>0</v>
      </c>
      <c r="P8" s="31">
        <f>'5.Inv'!$E7*'5.Inv'!$F7*'6.Var.Inv'!P7</f>
        <v>0</v>
      </c>
      <c r="Q8" s="31">
        <f>SUM(E8:P8)</f>
        <v>0</v>
      </c>
      <c r="R8" s="31">
        <f>'5.Inv'!$E7*'5.Inv'!$F7*'6.Var.Inv'!R7</f>
        <v>0</v>
      </c>
      <c r="S8" s="31">
        <f>'5.Inv'!$E7*'5.Inv'!$F7*'6.Var.Inv'!S7</f>
        <v>0</v>
      </c>
    </row>
    <row r="9" spans="1:20">
      <c r="A9" s="27">
        <f>'5.Inv'!A8</f>
        <v/>
      </c>
      <c r="B9" s="27">
        <f>'5.Inv'!B8</f>
        <v/>
      </c>
      <c r="C9" s="26" t="str">
        <f>'5.Inv'!C8</f>
        <v>Véhicule administratif</v>
      </c>
      <c r="D9" s="26" t="str">
        <f>'5.Inv'!D8</f>
        <v>EMP1</v>
      </c>
      <c r="E9" s="31">
        <f>'5.Inv'!$E8*'5.Inv'!$F8*'6.Var.Inv'!E8</f>
        <v>0</v>
      </c>
      <c r="F9" s="31">
        <f>'5.Inv'!$E8*'5.Inv'!$F8*'6.Var.Inv'!F8</f>
        <v>0</v>
      </c>
      <c r="G9" s="31">
        <f>'5.Inv'!$E8*'5.Inv'!$F8*'6.Var.Inv'!G8</f>
        <v>0</v>
      </c>
      <c r="H9" s="31">
        <f>'5.Inv'!$E8*'5.Inv'!$F8*'6.Var.Inv'!H8</f>
        <v>0</v>
      </c>
      <c r="I9" s="31">
        <f>'5.Inv'!$E8*'5.Inv'!$F8*'6.Var.Inv'!I8</f>
        <v>0</v>
      </c>
      <c r="J9" s="31">
        <f>'5.Inv'!$E8*'5.Inv'!$F8*'6.Var.Inv'!J8</f>
        <v>0</v>
      </c>
      <c r="K9" s="31">
        <f>'5.Inv'!$E8*'5.Inv'!$F8*'6.Var.Inv'!K8</f>
        <v>0</v>
      </c>
      <c r="L9" s="31">
        <f>'5.Inv'!$E8*'5.Inv'!$F8*'6.Var.Inv'!L8</f>
        <v>0</v>
      </c>
      <c r="M9" s="31">
        <f>'5.Inv'!$E8*'5.Inv'!$F8*'6.Var.Inv'!M8</f>
        <v>0</v>
      </c>
      <c r="N9" s="31">
        <f>'5.Inv'!$E8*'5.Inv'!$F8*'6.Var.Inv'!N8</f>
        <v>0</v>
      </c>
      <c r="O9" s="31">
        <f>'5.Inv'!$E8*'5.Inv'!$F8*'6.Var.Inv'!O8</f>
        <v>0</v>
      </c>
      <c r="P9" s="31">
        <f>'5.Inv'!$E8*'5.Inv'!$F8*'6.Var.Inv'!P8</f>
        <v>0</v>
      </c>
      <c r="Q9" s="31">
        <f>SUM(E9:P9)</f>
        <v>0</v>
      </c>
      <c r="R9" s="31">
        <f>'5.Inv'!$E8*'5.Inv'!$F8*'6.Var.Inv'!R8</f>
        <v>0</v>
      </c>
      <c r="S9" s="31">
        <f>'5.Inv'!$E8*'5.Inv'!$F8*'6.Var.Inv'!S8</f>
        <v>0</v>
      </c>
    </row>
    <row r="10" spans="1:20">
      <c r="A10" s="27" t="str">
        <f>'5.Inv'!A9</f>
        <v>3.</v>
      </c>
      <c r="B10" s="27" t="str">
        <f>'5.Inv'!B9</f>
        <v>Autres immobilisations corporelles matériel de travail</v>
      </c>
      <c r="C10" s="26" t="str">
        <f>'5.Inv'!C9</f>
        <v>Bureau (Fauteuil + table)</v>
      </c>
      <c r="D10" s="26" t="str">
        <f>'5.Inv'!D9</f>
        <v>EMP1</v>
      </c>
      <c r="E10" s="31">
        <f>'5.Inv'!$E9*'5.Inv'!$F9*'6.Var.Inv'!E9</f>
        <v>510000</v>
      </c>
      <c r="F10" s="31">
        <f>'5.Inv'!$E9*'5.Inv'!$F9*'6.Var.Inv'!F9</f>
        <v>0</v>
      </c>
      <c r="G10" s="31">
        <f>'5.Inv'!$E9*'5.Inv'!$F9*'6.Var.Inv'!G9</f>
        <v>0</v>
      </c>
      <c r="H10" s="31">
        <f>'5.Inv'!$E9*'5.Inv'!$F9*'6.Var.Inv'!H9</f>
        <v>0</v>
      </c>
      <c r="I10" s="31">
        <f>'5.Inv'!$E9*'5.Inv'!$F9*'6.Var.Inv'!I9</f>
        <v>0</v>
      </c>
      <c r="J10" s="31">
        <f>'5.Inv'!$E9*'5.Inv'!$F9*'6.Var.Inv'!J9</f>
        <v>0</v>
      </c>
      <c r="K10" s="31">
        <f>'5.Inv'!$E9*'5.Inv'!$F9*'6.Var.Inv'!K9</f>
        <v>0</v>
      </c>
      <c r="L10" s="31">
        <f>'5.Inv'!$E9*'5.Inv'!$F9*'6.Var.Inv'!L9</f>
        <v>0</v>
      </c>
      <c r="M10" s="31">
        <f>'5.Inv'!$E9*'5.Inv'!$F9*'6.Var.Inv'!M9</f>
        <v>0</v>
      </c>
      <c r="N10" s="31">
        <f>'5.Inv'!$E9*'5.Inv'!$F9*'6.Var.Inv'!N9</f>
        <v>0</v>
      </c>
      <c r="O10" s="31">
        <f>'5.Inv'!$E9*'5.Inv'!$F9*'6.Var.Inv'!O9</f>
        <v>0</v>
      </c>
      <c r="P10" s="31">
        <f>'5.Inv'!$E9*'5.Inv'!$F9*'6.Var.Inv'!P9</f>
        <v>0</v>
      </c>
      <c r="Q10" s="31">
        <f>SUM(E10:P10)</f>
        <v>510000</v>
      </c>
      <c r="R10" s="31">
        <f>'5.Inv'!$E9*'5.Inv'!$F9*'6.Var.Inv'!R9</f>
        <v>0</v>
      </c>
      <c r="S10" s="31">
        <f>'5.Inv'!$E9*'5.Inv'!$F9*'6.Var.Inv'!S9</f>
        <v>0</v>
      </c>
    </row>
    <row r="11" spans="1:20" s="25" customFormat="1">
      <c r="A11" s="27">
        <f>'5.Inv'!A10</f>
        <v/>
      </c>
      <c r="B11" s="27">
        <f>'5.Inv'!B10</f>
        <v/>
      </c>
      <c r="C11" s="26" t="str">
        <f>'5.Inv'!C10</f>
        <v>Mobilier et matériel de bureau</v>
      </c>
      <c r="D11" s="26" t="str">
        <f>'5.Inv'!D10</f>
        <v>EMP1</v>
      </c>
      <c r="E11" s="31">
        <f>'5.Inv'!$E10*'5.Inv'!$F10*'6.Var.Inv'!E10</f>
        <v>0</v>
      </c>
      <c r="F11" s="31">
        <f>'5.Inv'!$E10*'5.Inv'!$F10*'6.Var.Inv'!F10</f>
        <v>0</v>
      </c>
      <c r="G11" s="31">
        <f>'5.Inv'!$E10*'5.Inv'!$F10*'6.Var.Inv'!G10</f>
        <v>0</v>
      </c>
      <c r="H11" s="31">
        <f>'5.Inv'!$E10*'5.Inv'!$F10*'6.Var.Inv'!H10</f>
        <v>0</v>
      </c>
      <c r="I11" s="31">
        <f>'5.Inv'!$E10*'5.Inv'!$F10*'6.Var.Inv'!I10</f>
        <v>0</v>
      </c>
      <c r="J11" s="31">
        <f>'5.Inv'!$E10*'5.Inv'!$F10*'6.Var.Inv'!J10</f>
        <v>0</v>
      </c>
      <c r="K11" s="31">
        <f>'5.Inv'!$E10*'5.Inv'!$F10*'6.Var.Inv'!K10</f>
        <v>0</v>
      </c>
      <c r="L11" s="31">
        <f>'5.Inv'!$E10*'5.Inv'!$F10*'6.Var.Inv'!L10</f>
        <v>0</v>
      </c>
      <c r="M11" s="31">
        <f>'5.Inv'!$E10*'5.Inv'!$F10*'6.Var.Inv'!M10</f>
        <v>0</v>
      </c>
      <c r="N11" s="31">
        <f>'5.Inv'!$E10*'5.Inv'!$F10*'6.Var.Inv'!N10</f>
        <v>0</v>
      </c>
      <c r="O11" s="31">
        <f>'5.Inv'!$E10*'5.Inv'!$F10*'6.Var.Inv'!O10</f>
        <v>0</v>
      </c>
      <c r="P11" s="31">
        <f>'5.Inv'!$E10*'5.Inv'!$F10*'6.Var.Inv'!P10</f>
        <v>0</v>
      </c>
      <c r="Q11" s="31">
        <f>SUM(E11:P11)</f>
        <v>0</v>
      </c>
      <c r="R11" s="31">
        <f>'5.Inv'!$E10*'5.Inv'!$F10*'6.Var.Inv'!R10</f>
        <v>0</v>
      </c>
      <c r="S11" s="31">
        <f>'5.Inv'!$E10*'5.Inv'!$F10*'6.Var.Inv'!S10</f>
        <v>0</v>
      </c>
    </row>
    <row r="12" spans="1:20">
      <c r="A12" s="27">
        <f>'5.Inv'!A11</f>
        <v/>
      </c>
      <c r="B12" s="27">
        <f>'5.Inv'!B11</f>
        <v/>
      </c>
      <c r="C12" s="26" t="str">
        <f>'5.Inv'!C11</f>
        <v>Bureau (Fauteuil + table)</v>
      </c>
      <c r="D12" s="26" t="str">
        <f>'5.Inv'!D11</f>
        <v>EMP1</v>
      </c>
      <c r="E12" s="31">
        <f>'5.Inv'!$E11*'5.Inv'!$F11*'6.Var.Inv'!E11</f>
        <v>0</v>
      </c>
      <c r="F12" s="31">
        <f>'5.Inv'!$E11*'5.Inv'!$F11*'6.Var.Inv'!F11</f>
        <v>0</v>
      </c>
      <c r="G12" s="31">
        <f>'5.Inv'!$E11*'5.Inv'!$F11*'6.Var.Inv'!G11</f>
        <v>0</v>
      </c>
      <c r="H12" s="31">
        <f>'5.Inv'!$E11*'5.Inv'!$F11*'6.Var.Inv'!H11</f>
        <v>0</v>
      </c>
      <c r="I12" s="31">
        <f>'5.Inv'!$E11*'5.Inv'!$F11*'6.Var.Inv'!I11</f>
        <v>0</v>
      </c>
      <c r="J12" s="31">
        <f>'5.Inv'!$E11*'5.Inv'!$F11*'6.Var.Inv'!J11</f>
        <v>0</v>
      </c>
      <c r="K12" s="31">
        <f>'5.Inv'!$E11*'5.Inv'!$F11*'6.Var.Inv'!K11</f>
        <v>0</v>
      </c>
      <c r="L12" s="31">
        <f>'5.Inv'!$E11*'5.Inv'!$F11*'6.Var.Inv'!L11</f>
        <v>0</v>
      </c>
      <c r="M12" s="31">
        <f>'5.Inv'!$E11*'5.Inv'!$F11*'6.Var.Inv'!M11</f>
        <v>0</v>
      </c>
      <c r="N12" s="31">
        <f>'5.Inv'!$E11*'5.Inv'!$F11*'6.Var.Inv'!N11</f>
        <v>0</v>
      </c>
      <c r="O12" s="31">
        <f>'5.Inv'!$E11*'5.Inv'!$F11*'6.Var.Inv'!O11</f>
        <v>0</v>
      </c>
      <c r="P12" s="31">
        <f>'5.Inv'!$E11*'5.Inv'!$F11*'6.Var.Inv'!P11</f>
        <v>0</v>
      </c>
      <c r="Q12" s="31">
        <f>SUM(E12:P12)</f>
        <v>0</v>
      </c>
      <c r="R12" s="31">
        <f>'5.Inv'!$E11*'5.Inv'!$F11*'6.Var.Inv'!R11</f>
        <v>0</v>
      </c>
      <c r="S12" s="31">
        <f>'5.Inv'!$E11*'5.Inv'!$F11*'6.Var.Inv'!S11</f>
        <v>0</v>
      </c>
    </row>
    <row r="13" spans="1:20">
      <c r="A13" s="27">
        <f>'5.Inv'!A12</f>
        <v/>
      </c>
      <c r="B13" s="27">
        <f>'5.Inv'!B12</f>
        <v/>
      </c>
      <c r="C13" s="26" t="str">
        <f>'5.Inv'!C12</f>
        <v>Ordinateur PRO</v>
      </c>
      <c r="D13" s="26" t="str">
        <f>'5.Inv'!D12</f>
        <v>EMP1</v>
      </c>
      <c r="E13" s="31">
        <f>'5.Inv'!$E12*'5.Inv'!$F12*'6.Var.Inv'!E12</f>
        <v>1500000</v>
      </c>
      <c r="F13" s="31">
        <f>'5.Inv'!$E12*'5.Inv'!$F12*'6.Var.Inv'!F12</f>
        <v>0</v>
      </c>
      <c r="G13" s="31">
        <f>'5.Inv'!$E12*'5.Inv'!$F12*'6.Var.Inv'!G12</f>
        <v>0</v>
      </c>
      <c r="H13" s="31">
        <f>'5.Inv'!$E12*'5.Inv'!$F12*'6.Var.Inv'!H12</f>
        <v>0</v>
      </c>
      <c r="I13" s="31">
        <f>'5.Inv'!$E12*'5.Inv'!$F12*'6.Var.Inv'!I12</f>
        <v>0</v>
      </c>
      <c r="J13" s="31">
        <f>'5.Inv'!$E12*'5.Inv'!$F12*'6.Var.Inv'!J12</f>
        <v>0</v>
      </c>
      <c r="K13" s="31">
        <f>'5.Inv'!$E12*'5.Inv'!$F12*'6.Var.Inv'!K12</f>
        <v>0</v>
      </c>
      <c r="L13" s="31">
        <f>'5.Inv'!$E12*'5.Inv'!$F12*'6.Var.Inv'!L12</f>
        <v>0</v>
      </c>
      <c r="M13" s="31">
        <f>'5.Inv'!$E12*'5.Inv'!$F12*'6.Var.Inv'!M12</f>
        <v>0</v>
      </c>
      <c r="N13" s="31">
        <f>'5.Inv'!$E12*'5.Inv'!$F12*'6.Var.Inv'!N12</f>
        <v>0</v>
      </c>
      <c r="O13" s="31">
        <f>'5.Inv'!$E12*'5.Inv'!$F12*'6.Var.Inv'!O12</f>
        <v>0</v>
      </c>
      <c r="P13" s="31">
        <f>'5.Inv'!$E12*'5.Inv'!$F12*'6.Var.Inv'!P12</f>
        <v>0</v>
      </c>
      <c r="Q13" s="31">
        <f>SUM(E13:P13)</f>
        <v>1500000</v>
      </c>
      <c r="R13" s="31">
        <f>'5.Inv'!$E12*'5.Inv'!$F12*'6.Var.Inv'!R12</f>
        <v>0</v>
      </c>
      <c r="S13" s="31">
        <f>'5.Inv'!$E12*'5.Inv'!$F12*'6.Var.Inv'!S12</f>
        <v>0</v>
      </c>
    </row>
    <row r="14" spans="1:20">
      <c r="A14" s="27"/>
      <c r="B14" s="27"/>
      <c r="C14" s="26" t="str">
        <f>'5.Inv'!C13</f>
        <v>Serveur</v>
      </c>
      <c r="D14" s="26" t="str">
        <f>'5.Inv'!D13</f>
        <v>EMP1</v>
      </c>
      <c r="E14" s="31">
        <f>'5.Inv'!$E13*'5.Inv'!$F13*'6.Var.Inv'!E13</f>
        <v>2000000</v>
      </c>
      <c r="F14" s="31">
        <f>'5.Inv'!$E13*'5.Inv'!$F13*'6.Var.Inv'!F13</f>
        <v>0</v>
      </c>
      <c r="G14" s="31">
        <f>'5.Inv'!$E13*'5.Inv'!$F13*'6.Var.Inv'!G13</f>
        <v>0</v>
      </c>
      <c r="H14" s="31">
        <f>'5.Inv'!$E13*'5.Inv'!$F13*'6.Var.Inv'!H13</f>
        <v>0</v>
      </c>
      <c r="I14" s="31">
        <f>'5.Inv'!$E13*'5.Inv'!$F13*'6.Var.Inv'!I13</f>
        <v>0</v>
      </c>
      <c r="J14" s="31">
        <f>'5.Inv'!$E13*'5.Inv'!$F13*'6.Var.Inv'!J13</f>
        <v>0</v>
      </c>
      <c r="K14" s="31">
        <f>'5.Inv'!$E13*'5.Inv'!$F13*'6.Var.Inv'!K13</f>
        <v>0</v>
      </c>
      <c r="L14" s="31">
        <f>'5.Inv'!$E13*'5.Inv'!$F13*'6.Var.Inv'!L13</f>
        <v>0</v>
      </c>
      <c r="M14" s="31">
        <f>'5.Inv'!$E13*'5.Inv'!$F13*'6.Var.Inv'!M13</f>
        <v>0</v>
      </c>
      <c r="N14" s="31">
        <f>'5.Inv'!$E13*'5.Inv'!$F13*'6.Var.Inv'!N13</f>
        <v>0</v>
      </c>
      <c r="O14" s="31">
        <f>'5.Inv'!$E13*'5.Inv'!$F13*'6.Var.Inv'!O13</f>
        <v>0</v>
      </c>
      <c r="P14" s="31">
        <f>'5.Inv'!$E13*'5.Inv'!$F13*'6.Var.Inv'!P13</f>
        <v>0</v>
      </c>
      <c r="Q14" s="31">
        <f>SUM(E14:P14)</f>
        <v>2000000</v>
      </c>
      <c r="R14" s="31">
        <f>'5.Inv'!$E13*'5.Inv'!$F13*'6.Var.Inv'!R13</f>
        <v>0</v>
      </c>
      <c r="S14" s="31">
        <f>'5.Inv'!$E13*'5.Inv'!$F13*'6.Var.Inv'!S13</f>
        <v>0</v>
      </c>
    </row>
    <row r="15" spans="1:20">
      <c r="A15" s="27">
        <f>'5.Inv'!A13</f>
        <v/>
      </c>
      <c r="B15" s="27">
        <f>'5.Inv'!B13</f>
        <v/>
      </c>
      <c r="C15" s="26" t="str">
        <f>'5.Inv'!C14</f>
        <v>CANON EOS 80 D + objectif 18-135mm IS USM</v>
      </c>
      <c r="D15" s="26" t="str">
        <f>'5.Inv'!D14</f>
        <v>EMP1</v>
      </c>
      <c r="E15" s="31">
        <f>'5.Inv'!$E14*'5.Inv'!$F14*'6.Var.Inv'!E14</f>
        <v>1467000</v>
      </c>
      <c r="F15" s="31">
        <f>'5.Inv'!$E14*'5.Inv'!$F14*'6.Var.Inv'!F14</f>
        <v>0</v>
      </c>
      <c r="G15" s="31">
        <f>'5.Inv'!$E14*'5.Inv'!$F14*'6.Var.Inv'!G14</f>
        <v>0</v>
      </c>
      <c r="H15" s="31">
        <f>'5.Inv'!$E14*'5.Inv'!$F14*'6.Var.Inv'!H14</f>
        <v>0</v>
      </c>
      <c r="I15" s="31">
        <f>'5.Inv'!$E14*'5.Inv'!$F14*'6.Var.Inv'!I14</f>
        <v>0</v>
      </c>
      <c r="J15" s="31">
        <f>'5.Inv'!$E14*'5.Inv'!$F14*'6.Var.Inv'!J14</f>
        <v>0</v>
      </c>
      <c r="K15" s="31">
        <f>'5.Inv'!$E14*'5.Inv'!$F14*'6.Var.Inv'!K14</f>
        <v>0</v>
      </c>
      <c r="L15" s="31">
        <f>'5.Inv'!$E14*'5.Inv'!$F14*'6.Var.Inv'!L14</f>
        <v>0</v>
      </c>
      <c r="M15" s="31">
        <f>'5.Inv'!$E14*'5.Inv'!$F14*'6.Var.Inv'!M14</f>
        <v>0</v>
      </c>
      <c r="N15" s="31">
        <f>'5.Inv'!$E14*'5.Inv'!$F14*'6.Var.Inv'!N14</f>
        <v>0</v>
      </c>
      <c r="O15" s="31">
        <f>'5.Inv'!$E14*'5.Inv'!$F14*'6.Var.Inv'!O14</f>
        <v>0</v>
      </c>
      <c r="P15" s="31">
        <f>'5.Inv'!$E14*'5.Inv'!$F14*'6.Var.Inv'!P14</f>
        <v>0</v>
      </c>
      <c r="Q15" s="31">
        <f>SUM(E15:P15)</f>
        <v>1467000</v>
      </c>
      <c r="R15" s="31">
        <f>'5.Inv'!$E14*'5.Inv'!$F14*'6.Var.Inv'!R14</f>
        <v>0</v>
      </c>
      <c r="S15" s="31">
        <f>'5.Inv'!$E14*'5.Inv'!$F14*'6.Var.Inv'!S14</f>
        <v>0</v>
      </c>
    </row>
    <row r="16" spans="1:20">
      <c r="A16" s="27">
        <f>'5.Inv'!A14</f>
        <v/>
      </c>
      <c r="B16" s="27">
        <f>'5.Inv'!B14</f>
        <v/>
      </c>
      <c r="C16" s="26" t="str">
        <f>'5.Inv'!C15</f>
        <v>Boîtier Canon EOS 5D Mark IV</v>
      </c>
      <c r="D16" s="26" t="str">
        <f>'5.Inv'!D15</f>
        <v>EMP1</v>
      </c>
      <c r="E16" s="31">
        <f>'5.Inv'!$E15*'5.Inv'!$F15*'6.Var.Inv'!E15</f>
        <v>3301200</v>
      </c>
      <c r="F16" s="31">
        <f>'5.Inv'!$E15*'5.Inv'!$F15*'6.Var.Inv'!F15</f>
        <v>0</v>
      </c>
      <c r="G16" s="31">
        <f>'5.Inv'!$E15*'5.Inv'!$F15*'6.Var.Inv'!G15</f>
        <v>0</v>
      </c>
      <c r="H16" s="31">
        <f>'5.Inv'!$E15*'5.Inv'!$F15*'6.Var.Inv'!H15</f>
        <v>0</v>
      </c>
      <c r="I16" s="31">
        <f>'5.Inv'!$E15*'5.Inv'!$F15*'6.Var.Inv'!I15</f>
        <v>0</v>
      </c>
      <c r="J16" s="31">
        <f>'5.Inv'!$E15*'5.Inv'!$F15*'6.Var.Inv'!J15</f>
        <v>0</v>
      </c>
      <c r="K16" s="31">
        <f>'5.Inv'!$E15*'5.Inv'!$F15*'6.Var.Inv'!K15</f>
        <v>0</v>
      </c>
      <c r="L16" s="31">
        <f>'5.Inv'!$E15*'5.Inv'!$F15*'6.Var.Inv'!L15</f>
        <v>0</v>
      </c>
      <c r="M16" s="31">
        <f>'5.Inv'!$E15*'5.Inv'!$F15*'6.Var.Inv'!M15</f>
        <v>0</v>
      </c>
      <c r="N16" s="31">
        <f>'5.Inv'!$E15*'5.Inv'!$F15*'6.Var.Inv'!N15</f>
        <v>0</v>
      </c>
      <c r="O16" s="31">
        <f>'5.Inv'!$E15*'5.Inv'!$F15*'6.Var.Inv'!O15</f>
        <v>0</v>
      </c>
      <c r="P16" s="31">
        <f>'5.Inv'!$E15*'5.Inv'!$F15*'6.Var.Inv'!P15</f>
        <v>0</v>
      </c>
      <c r="Q16" s="31">
        <f>SUM(E16:P16)</f>
        <v>3301200</v>
      </c>
      <c r="R16" s="31">
        <f>'5.Inv'!$E15*'5.Inv'!$F15*'6.Var.Inv'!R15</f>
        <v>0</v>
      </c>
      <c r="S16" s="31">
        <f>'5.Inv'!$E15*'5.Inv'!$F15*'6.Var.Inv'!S15</f>
        <v>0</v>
      </c>
    </row>
    <row r="17" spans="1:20">
      <c r="A17" s="27">
        <f>'5.Inv'!A16</f>
        <v/>
      </c>
      <c r="B17" s="27">
        <f>'5.Inv'!B16</f>
        <v/>
      </c>
      <c r="C17" s="26" t="str">
        <f>'5.Inv'!C16</f>
        <v>Photocopieuse + Imprimante</v>
      </c>
      <c r="D17" s="26" t="str">
        <f>'5.Inv'!D16</f>
        <v>EMP1</v>
      </c>
      <c r="E17" s="31">
        <f>'5.Inv'!$E16*'5.Inv'!$F16*'6.Var.Inv'!E16</f>
        <v>700000</v>
      </c>
      <c r="F17" s="31">
        <f>'5.Inv'!$E16*'5.Inv'!$F16*'6.Var.Inv'!F16</f>
        <v>0</v>
      </c>
      <c r="G17" s="31">
        <f>'5.Inv'!$E16*'5.Inv'!$F16*'6.Var.Inv'!G16</f>
        <v>0</v>
      </c>
      <c r="H17" s="31">
        <f>'5.Inv'!$E16*'5.Inv'!$F16*'6.Var.Inv'!H16</f>
        <v>0</v>
      </c>
      <c r="I17" s="31">
        <f>'5.Inv'!$E16*'5.Inv'!$F16*'6.Var.Inv'!I16</f>
        <v>0</v>
      </c>
      <c r="J17" s="31">
        <f>'5.Inv'!$E16*'5.Inv'!$F16*'6.Var.Inv'!J16</f>
        <v>0</v>
      </c>
      <c r="K17" s="31">
        <f>'5.Inv'!$E16*'5.Inv'!$F16*'6.Var.Inv'!K16</f>
        <v>0</v>
      </c>
      <c r="L17" s="31">
        <f>'5.Inv'!$E16*'5.Inv'!$F16*'6.Var.Inv'!L16</f>
        <v>0</v>
      </c>
      <c r="M17" s="31">
        <f>'5.Inv'!$E16*'5.Inv'!$F16*'6.Var.Inv'!M16</f>
        <v>0</v>
      </c>
      <c r="N17" s="31">
        <f>'5.Inv'!$E16*'5.Inv'!$F16*'6.Var.Inv'!N16</f>
        <v>0</v>
      </c>
      <c r="O17" s="31">
        <f>'5.Inv'!$E16*'5.Inv'!$F16*'6.Var.Inv'!O16</f>
        <v>0</v>
      </c>
      <c r="P17" s="31">
        <f>'5.Inv'!$E16*'5.Inv'!$F16*'6.Var.Inv'!P16</f>
        <v>0</v>
      </c>
      <c r="Q17" s="31">
        <f>SUM(E17:P17)</f>
        <v>700000</v>
      </c>
      <c r="R17" s="31">
        <f>'5.Inv'!$E16*'5.Inv'!$F16*'6.Var.Inv'!R16</f>
        <v>0</v>
      </c>
      <c r="S17" s="31">
        <f>'5.Inv'!$E16*'5.Inv'!$F16*'6.Var.Inv'!S16</f>
        <v>0</v>
      </c>
    </row>
    <row r="18" spans="1:20">
      <c r="A18" s="27" t="str">
        <f>'5.Inv'!A17</f>
        <v>4.</v>
      </c>
      <c r="B18" s="27" t="str">
        <f>'5.Inv'!B17</f>
        <v>Immobilisation incorporelles</v>
      </c>
      <c r="C18" s="26" t="str">
        <f>'5.Inv'!C17</f>
        <v>Caution et avance loyer</v>
      </c>
      <c r="D18" s="26" t="str">
        <f>'5.Inv'!D17</f>
        <v>EMP1</v>
      </c>
      <c r="E18" s="31">
        <f>'5.Inv'!$E17*'5.Inv'!$F17*'6.Var.Inv'!E17</f>
        <v>3300000</v>
      </c>
      <c r="F18" s="31">
        <f>'5.Inv'!$E17*'5.Inv'!$F17*'6.Var.Inv'!F17</f>
        <v>0</v>
      </c>
      <c r="G18" s="31">
        <f>'5.Inv'!$E17*'5.Inv'!$F17*'6.Var.Inv'!G17</f>
        <v>0</v>
      </c>
      <c r="H18" s="31">
        <f>'5.Inv'!$E17*'5.Inv'!$F17*'6.Var.Inv'!H17</f>
        <v>0</v>
      </c>
      <c r="I18" s="31">
        <f>'5.Inv'!$E17*'5.Inv'!$F17*'6.Var.Inv'!I17</f>
        <v>0</v>
      </c>
      <c r="J18" s="31">
        <f>'5.Inv'!$E17*'5.Inv'!$F17*'6.Var.Inv'!J17</f>
        <v>0</v>
      </c>
      <c r="K18" s="31">
        <f>'5.Inv'!$E17*'5.Inv'!$F17*'6.Var.Inv'!K17</f>
        <v>0</v>
      </c>
      <c r="L18" s="31">
        <f>'5.Inv'!$E17*'5.Inv'!$F17*'6.Var.Inv'!L17</f>
        <v>0</v>
      </c>
      <c r="M18" s="31">
        <f>'5.Inv'!$E17*'5.Inv'!$F17*'6.Var.Inv'!M17</f>
        <v>0</v>
      </c>
      <c r="N18" s="31">
        <f>'5.Inv'!$E17*'5.Inv'!$F17*'6.Var.Inv'!N17</f>
        <v>0</v>
      </c>
      <c r="O18" s="31">
        <f>'5.Inv'!$E17*'5.Inv'!$F17*'6.Var.Inv'!O17</f>
        <v>0</v>
      </c>
      <c r="P18" s="31">
        <f>'5.Inv'!$E17*'5.Inv'!$F17*'6.Var.Inv'!P17</f>
        <v>0</v>
      </c>
      <c r="Q18" s="31">
        <f>SUM(E18:P18)</f>
        <v>3300000</v>
      </c>
      <c r="R18" s="31">
        <f>'5.Inv'!$E17*'5.Inv'!$F17*'6.Var.Inv'!R17</f>
        <v>0</v>
      </c>
      <c r="S18" s="31">
        <f>'5.Inv'!$E17*'5.Inv'!$F17*'6.Var.Inv'!S17</f>
        <v>0</v>
      </c>
    </row>
    <row r="19" spans="1:20">
      <c r="A19" s="27">
        <f>'5.Inv'!A18</f>
        <v/>
      </c>
      <c r="B19" s="27">
        <f>'5.Inv'!B18</f>
        <v/>
      </c>
      <c r="C19" s="26" t="str">
        <f>'5.Inv'!C18</f>
        <v>Branchement Téléphone et internet</v>
      </c>
      <c r="D19" s="26" t="str">
        <f>'5.Inv'!D18</f>
        <v>EMP1</v>
      </c>
      <c r="E19" s="31">
        <f>'5.Inv'!$E18*'5.Inv'!$F18*'6.Var.Inv'!E18</f>
        <v>0</v>
      </c>
      <c r="F19" s="31">
        <f>'5.Inv'!$E18*'5.Inv'!$F18*'6.Var.Inv'!F18</f>
        <v>0</v>
      </c>
      <c r="G19" s="31">
        <f>'5.Inv'!$E18*'5.Inv'!$F18*'6.Var.Inv'!G18</f>
        <v>0</v>
      </c>
      <c r="H19" s="31">
        <f>'5.Inv'!$E18*'5.Inv'!$F18*'6.Var.Inv'!H18</f>
        <v>0</v>
      </c>
      <c r="I19" s="31">
        <f>'5.Inv'!$E18*'5.Inv'!$F18*'6.Var.Inv'!I18</f>
        <v>0</v>
      </c>
      <c r="J19" s="31">
        <f>'5.Inv'!$E18*'5.Inv'!$F18*'6.Var.Inv'!J18</f>
        <v>0</v>
      </c>
      <c r="K19" s="31">
        <f>'5.Inv'!$E18*'5.Inv'!$F18*'6.Var.Inv'!K18</f>
        <v>0</v>
      </c>
      <c r="L19" s="31">
        <f>'5.Inv'!$E18*'5.Inv'!$F18*'6.Var.Inv'!L18</f>
        <v>0</v>
      </c>
      <c r="M19" s="31">
        <f>'5.Inv'!$E18*'5.Inv'!$F18*'6.Var.Inv'!M18</f>
        <v>0</v>
      </c>
      <c r="N19" s="31">
        <f>'5.Inv'!$E18*'5.Inv'!$F18*'6.Var.Inv'!N18</f>
        <v>0</v>
      </c>
      <c r="O19" s="31">
        <f>'5.Inv'!$E18*'5.Inv'!$F18*'6.Var.Inv'!O18</f>
        <v>0</v>
      </c>
      <c r="P19" s="31">
        <f>'5.Inv'!$E18*'5.Inv'!$F18*'6.Var.Inv'!P18</f>
        <v>0</v>
      </c>
      <c r="Q19" s="31">
        <f>SUM(E19:P19)</f>
        <v>0</v>
      </c>
      <c r="R19" s="31">
        <f>'5.Inv'!$E18*'5.Inv'!$F18*'6.Var.Inv'!R18</f>
        <v>0</v>
      </c>
      <c r="S19" s="31">
        <f>'5.Inv'!$E18*'5.Inv'!$F18*'6.Var.Inv'!S18</f>
        <v>0</v>
      </c>
    </row>
    <row r="20" spans="1:20" s="25" customFormat="1">
      <c r="A20" s="27">
        <f>'5.Inv'!A19</f>
        <v/>
      </c>
      <c r="B20" s="27">
        <f>'5.Inv'!B19</f>
        <v/>
      </c>
      <c r="C20" s="26" t="str">
        <f>'5.Inv'!C19</f>
        <v>Branchement CIE et SODECI</v>
      </c>
      <c r="D20" s="26" t="str">
        <f>'5.Inv'!D19</f>
        <v>EMP1</v>
      </c>
      <c r="E20" s="31">
        <f>'5.Inv'!$E19*'5.Inv'!$F19*'6.Var.Inv'!E19</f>
        <v>0</v>
      </c>
      <c r="F20" s="31">
        <f>'5.Inv'!$E19*'5.Inv'!$F19*'6.Var.Inv'!F19</f>
        <v>0</v>
      </c>
      <c r="G20" s="31">
        <f>'5.Inv'!$E19*'5.Inv'!$F19*'6.Var.Inv'!G19</f>
        <v>0</v>
      </c>
      <c r="H20" s="31">
        <f>'5.Inv'!$E19*'5.Inv'!$F19*'6.Var.Inv'!H19</f>
        <v>0</v>
      </c>
      <c r="I20" s="31">
        <f>'5.Inv'!$E19*'5.Inv'!$F19*'6.Var.Inv'!I19</f>
        <v>0</v>
      </c>
      <c r="J20" s="31">
        <f>'5.Inv'!$E19*'5.Inv'!$F19*'6.Var.Inv'!J19</f>
        <v>0</v>
      </c>
      <c r="K20" s="31">
        <f>'5.Inv'!$E19*'5.Inv'!$F19*'6.Var.Inv'!K19</f>
        <v>0</v>
      </c>
      <c r="L20" s="31">
        <f>'5.Inv'!$E19*'5.Inv'!$F19*'6.Var.Inv'!L19</f>
        <v>0</v>
      </c>
      <c r="M20" s="31">
        <f>'5.Inv'!$E19*'5.Inv'!$F19*'6.Var.Inv'!M19</f>
        <v>0</v>
      </c>
      <c r="N20" s="31">
        <f>'5.Inv'!$E19*'5.Inv'!$F19*'6.Var.Inv'!N19</f>
        <v>0</v>
      </c>
      <c r="O20" s="31">
        <f>'5.Inv'!$E19*'5.Inv'!$F19*'6.Var.Inv'!O19</f>
        <v>0</v>
      </c>
      <c r="P20" s="31">
        <f>'5.Inv'!$E19*'5.Inv'!$F19*'6.Var.Inv'!P19</f>
        <v>0</v>
      </c>
      <c r="Q20" s="31">
        <f>SUM(E20:P20)</f>
        <v>0</v>
      </c>
      <c r="R20" s="31">
        <f>'5.Inv'!$E19*'5.Inv'!$F19*'6.Var.Inv'!R19</f>
        <v>0</v>
      </c>
      <c r="S20" s="31">
        <f>'5.Inv'!$E19*'5.Inv'!$F19*'6.Var.Inv'!S19</f>
        <v>0</v>
      </c>
    </row>
    <row r="21" spans="1:20">
      <c r="A21" s="27">
        <f>'5.Inv'!A20</f>
        <v/>
      </c>
      <c r="B21" s="27">
        <f>'5.Inv'!B20</f>
        <v/>
      </c>
      <c r="C21" s="26" t="str">
        <f>'5.Inv'!C20</f>
        <v>Bail foncier</v>
      </c>
      <c r="D21" s="26" t="str">
        <f>'5.Inv'!D20</f>
        <v>EMP1</v>
      </c>
      <c r="E21" s="31">
        <f>'5.Inv'!$E20*'5.Inv'!$F20*'6.Var.Inv'!E20</f>
        <v>0</v>
      </c>
      <c r="F21" s="31">
        <f>'5.Inv'!$E20*'5.Inv'!$F20*'6.Var.Inv'!F20</f>
        <v>0</v>
      </c>
      <c r="G21" s="31">
        <f>'5.Inv'!$E20*'5.Inv'!$F20*'6.Var.Inv'!G20</f>
        <v>0</v>
      </c>
      <c r="H21" s="31">
        <f>'5.Inv'!$E20*'5.Inv'!$F20*'6.Var.Inv'!H20</f>
        <v>0</v>
      </c>
      <c r="I21" s="31">
        <f>'5.Inv'!$E20*'5.Inv'!$F20*'6.Var.Inv'!I20</f>
        <v>0</v>
      </c>
      <c r="J21" s="31">
        <f>'5.Inv'!$E20*'5.Inv'!$F20*'6.Var.Inv'!J20</f>
        <v>0</v>
      </c>
      <c r="K21" s="31">
        <f>'5.Inv'!$E20*'5.Inv'!$F20*'6.Var.Inv'!K20</f>
        <v>0</v>
      </c>
      <c r="L21" s="31">
        <f>'5.Inv'!$E20*'5.Inv'!$F20*'6.Var.Inv'!L20</f>
        <v>0</v>
      </c>
      <c r="M21" s="31">
        <f>'5.Inv'!$E20*'5.Inv'!$F20*'6.Var.Inv'!M20</f>
        <v>0</v>
      </c>
      <c r="N21" s="31">
        <f>'5.Inv'!$E20*'5.Inv'!$F20*'6.Var.Inv'!N20</f>
        <v>0</v>
      </c>
      <c r="O21" s="31">
        <f>'5.Inv'!$E20*'5.Inv'!$F20*'6.Var.Inv'!O20</f>
        <v>0</v>
      </c>
      <c r="P21" s="31">
        <f>'5.Inv'!$E20*'5.Inv'!$F20*'6.Var.Inv'!P20</f>
        <v>0</v>
      </c>
      <c r="Q21" s="31">
        <f>SUM(E21:P21)</f>
        <v>0</v>
      </c>
      <c r="R21" s="31">
        <f>'5.Inv'!$E20*'5.Inv'!$F20*'6.Var.Inv'!R20</f>
        <v>0</v>
      </c>
      <c r="S21" s="31">
        <f>'5.Inv'!$E20*'5.Inv'!$F20*'6.Var.Inv'!S20</f>
        <v>0</v>
      </c>
    </row>
    <row r="22" spans="1:20">
      <c r="A22" s="27"/>
      <c r="B22" s="27" t="s">
        <v>66</v>
      </c>
      <c r="C22" s="86" t="s">
        <v>66</v>
      </c>
      <c r="D22" s="86"/>
      <c r="E22" s="31">
        <f>SUM(E4:E21)</f>
        <v>22778200</v>
      </c>
      <c r="F22" s="31">
        <f>SUM(F4:F21)</f>
        <v>0</v>
      </c>
      <c r="G22" s="31">
        <f>SUM(G4:G21)</f>
        <v>0</v>
      </c>
      <c r="H22" s="31">
        <f>SUM(H4:H21)</f>
        <v>0</v>
      </c>
      <c r="I22" s="31">
        <f>SUM(I4:I21)</f>
        <v>0</v>
      </c>
      <c r="J22" s="31">
        <f>SUM(J4:J21)</f>
        <v>0</v>
      </c>
      <c r="K22" s="31">
        <f>SUM(K4:K21)</f>
        <v>0</v>
      </c>
      <c r="L22" s="31">
        <f>SUM(L4:L21)</f>
        <v>0</v>
      </c>
      <c r="M22" s="31">
        <f>SUM(M4:M21)</f>
        <v>0</v>
      </c>
      <c r="N22" s="31">
        <f>SUM(N4:N21)</f>
        <v>0</v>
      </c>
      <c r="O22" s="31">
        <f>SUM(O4:O21)</f>
        <v>0</v>
      </c>
      <c r="P22" s="31">
        <f>SUM(P4:P21)</f>
        <v>0</v>
      </c>
      <c r="Q22" s="31">
        <f>SUM(Q4:Q21)</f>
        <v>22778200</v>
      </c>
      <c r="R22" s="31">
        <f>SUM(R4:R21)</f>
        <v>0</v>
      </c>
      <c r="S22" s="31">
        <f>SUM(S4:S21)</f>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FFFF00"/>
    <outlinePr summaryBelow="1" summaryRight="1"/>
  </sheetPr>
  <dimension ref="A1:F10"/>
  <sheetViews>
    <sheetView tabSelected="0" workbookViewId="0" showGridLines="true" showRowColHeaders="1">
      <selection activeCell="E20" sqref="E20"/>
    </sheetView>
  </sheetViews>
  <sheetFormatPr defaultRowHeight="14.4" defaultColWidth="10.83203125" outlineLevelRow="0" outlineLevelCol="0"/>
  <cols>
    <col min="1" max="1" width="32.83203125" customWidth="true" style="24"/>
    <col min="2" max="2" width="27.1640625" customWidth="true" style="24"/>
    <col min="3" max="3" width="8.1640625" customWidth="true" style="24"/>
    <col min="4" max="4" width="3.83203125" customWidth="true" style="24"/>
    <col min="5" max="5" width="8.83203125" customWidth="true" style="24"/>
    <col min="6" max="6" width="10.83203125" style="24"/>
  </cols>
  <sheetData>
    <row r="1" spans="1:6" customHeight="1" ht="14">
      <c r="A1" s="124" t="s">
        <v>239</v>
      </c>
    </row>
    <row r="2" spans="1:6" customHeight="1" ht="14">
      <c r="A2" s="124"/>
    </row>
    <row r="3" spans="1:6">
      <c r="A3" s="27" t="s">
        <v>5</v>
      </c>
      <c r="B3" s="116" t="s">
        <v>6</v>
      </c>
      <c r="C3" s="116" t="s">
        <v>240</v>
      </c>
      <c r="D3" s="116" t="s">
        <v>7</v>
      </c>
      <c r="E3" s="116" t="s">
        <v>8</v>
      </c>
    </row>
    <row r="4" spans="1:6">
      <c r="A4" s="36" t="s">
        <v>9</v>
      </c>
      <c r="B4" s="120" t="s">
        <v>10</v>
      </c>
      <c r="C4" s="120" t="s">
        <v>241</v>
      </c>
      <c r="D4" s="118">
        <f>BP_Pres!C11</f>
        <v>1</v>
      </c>
      <c r="E4" s="118">
        <f>BP_Pres!D11</f>
        <v>20000</v>
      </c>
    </row>
    <row r="5" spans="1:6">
      <c r="A5" s="36" t="s">
        <v>9</v>
      </c>
      <c r="B5" s="120" t="s">
        <v>11</v>
      </c>
      <c r="C5" s="120" t="s">
        <v>241</v>
      </c>
      <c r="D5" s="118">
        <f>BP_Pres!C12</f>
        <v>1</v>
      </c>
      <c r="E5" s="118">
        <f>BP_Pres!D12</f>
        <v>10000</v>
      </c>
    </row>
    <row r="6" spans="1:6">
      <c r="A6" s="36" t="s">
        <v>9</v>
      </c>
      <c r="B6" s="120" t="s">
        <v>12</v>
      </c>
      <c r="C6" s="120" t="s">
        <v>241</v>
      </c>
      <c r="D6" s="118">
        <f>BP_Pres!C13</f>
        <v>1</v>
      </c>
      <c r="E6" s="118">
        <f>BP_Pres!D13</f>
        <v>1000</v>
      </c>
    </row>
    <row r="7" spans="1:6">
      <c r="A7" s="36" t="s">
        <v>9</v>
      </c>
      <c r="B7" s="120" t="s">
        <v>13</v>
      </c>
      <c r="C7" s="120" t="s">
        <v>241</v>
      </c>
      <c r="D7" s="118">
        <f>BP_Pres!C14</f>
        <v>1</v>
      </c>
      <c r="E7" s="118">
        <f>BP_Pres!D14</f>
        <v>500</v>
      </c>
    </row>
    <row r="8" spans="1:6">
      <c r="A8" s="111" t="s">
        <v>242</v>
      </c>
      <c r="B8" s="120"/>
      <c r="C8" s="120" t="s">
        <v>243</v>
      </c>
      <c r="D8" s="118"/>
      <c r="E8" s="118"/>
    </row>
    <row r="9" spans="1:6">
      <c r="A9" s="112" t="s">
        <v>244</v>
      </c>
      <c r="B9" s="120"/>
      <c r="C9" s="120" t="s">
        <v>245</v>
      </c>
      <c r="D9" s="118"/>
      <c r="E9" s="118"/>
    </row>
    <row r="10" spans="1:6">
      <c r="A10" s="36" t="s">
        <v>246</v>
      </c>
      <c r="B10" s="120"/>
      <c r="C10" s="120" t="s">
        <v>247</v>
      </c>
      <c r="D10" s="118"/>
      <c r="E10" s="118"/>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FFFF00"/>
    <outlinePr summaryBelow="1" summaryRight="1"/>
  </sheetPr>
  <dimension ref="A1:S12"/>
  <sheetViews>
    <sheetView tabSelected="0" workbookViewId="0" showGridLines="true" showRowColHeaders="1">
      <selection activeCell="U49" sqref="U49"/>
    </sheetView>
  </sheetViews>
  <sheetFormatPr defaultRowHeight="14.4" defaultColWidth="10.83203125" outlineLevelRow="0" outlineLevelCol="0"/>
  <cols>
    <col min="1" max="1" width="32.83203125" customWidth="true" style="24"/>
    <col min="2" max="2" width="7.1640625" customWidth="true" style="24"/>
    <col min="3" max="3" width="8.1640625" customWidth="true" style="24"/>
    <col min="4" max="4" width="3.83203125" customWidth="true" style="24"/>
    <col min="5" max="5" width="3.83203125" customWidth="true" style="24"/>
    <col min="6" max="6" width="3.83203125" customWidth="true" style="24"/>
    <col min="7" max="7" width="4.1640625" customWidth="true" style="24"/>
    <col min="8" max="8" width="3.83203125" customWidth="true" style="24"/>
    <col min="9" max="9" width="4.1640625" customWidth="true" style="24"/>
    <col min="10" max="10" width="3.83203125" customWidth="true" style="24"/>
    <col min="11" max="11" width="4.1640625" customWidth="true" style="24"/>
    <col min="12" max="12" width="3.83203125" customWidth="true" style="24"/>
    <col min="13" max="13" width="4.1640625" customWidth="true" style="24"/>
    <col min="14" max="14" width="3.83203125" customWidth="true" style="24"/>
    <col min="15" max="15" width="4.1640625" customWidth="true" style="24"/>
    <col min="16" max="16" width="4.83203125" customWidth="true" style="24"/>
    <col min="17" max="17" width="7.1640625" customWidth="true" style="24"/>
    <col min="18" max="18" width="7.83203125" customWidth="true" style="24"/>
    <col min="19" max="19" width="10.83203125" style="24"/>
  </cols>
  <sheetData>
    <row r="1" spans="1:19" customHeight="1" ht="14">
      <c r="A1" s="124" t="s">
        <v>248</v>
      </c>
    </row>
    <row r="2" spans="1:19">
      <c r="D2" s="30" t="s">
        <v>249</v>
      </c>
      <c r="E2" s="30"/>
      <c r="F2" s="30"/>
      <c r="G2" s="30"/>
      <c r="H2" s="30"/>
      <c r="I2" s="30"/>
      <c r="J2" s="30"/>
      <c r="K2" s="30"/>
      <c r="L2" s="30"/>
      <c r="M2" s="30"/>
      <c r="N2" s="30"/>
      <c r="O2" s="30"/>
      <c r="P2" s="30" t="s">
        <v>250</v>
      </c>
      <c r="Q2" s="30"/>
      <c r="R2" s="30"/>
    </row>
    <row r="4" spans="1:19">
      <c r="A4" s="27" t="s">
        <v>5</v>
      </c>
      <c r="B4" s="27" t="s">
        <v>251</v>
      </c>
      <c r="C4" s="27" t="s">
        <v>240</v>
      </c>
      <c r="D4" s="116">
        <v>1</v>
      </c>
      <c r="E4" s="116">
        <v>2</v>
      </c>
      <c r="F4" s="116">
        <v>3</v>
      </c>
      <c r="G4" s="116">
        <v>4</v>
      </c>
      <c r="H4" s="116">
        <v>5</v>
      </c>
      <c r="I4" s="116">
        <v>6</v>
      </c>
      <c r="J4" s="116">
        <v>7</v>
      </c>
      <c r="K4" s="116">
        <v>8</v>
      </c>
      <c r="L4" s="116">
        <v>9</v>
      </c>
      <c r="M4" s="116">
        <v>10</v>
      </c>
      <c r="N4" s="116">
        <v>11</v>
      </c>
      <c r="O4" s="116">
        <v>12</v>
      </c>
      <c r="P4" s="116" t="s">
        <v>144</v>
      </c>
      <c r="Q4" s="116" t="s">
        <v>88</v>
      </c>
      <c r="R4" s="116" t="s">
        <v>89</v>
      </c>
    </row>
    <row r="5" spans="1:19">
      <c r="A5" s="36" t="str">
        <f>'8.Prod'!A4</f>
        <v>Ventes de marchandises</v>
      </c>
      <c r="B5" s="28" t="str">
        <f>'8.Prod'!B4</f>
        <v>CA de Tenue de luxe Homme</v>
      </c>
      <c r="C5" s="28" t="str">
        <f>'8.Prod'!C4</f>
        <v>VEN1</v>
      </c>
      <c r="D5" s="117">
        <v>60</v>
      </c>
      <c r="E5" s="117">
        <v>60</v>
      </c>
      <c r="F5" s="117">
        <v>60</v>
      </c>
      <c r="G5" s="117">
        <v>60</v>
      </c>
      <c r="H5" s="117">
        <v>60</v>
      </c>
      <c r="I5" s="117">
        <v>60</v>
      </c>
      <c r="J5" s="117">
        <v>60</v>
      </c>
      <c r="K5" s="117">
        <v>60</v>
      </c>
      <c r="L5" s="117">
        <v>60</v>
      </c>
      <c r="M5" s="117">
        <v>60</v>
      </c>
      <c r="N5" s="117">
        <v>60</v>
      </c>
      <c r="O5" s="117">
        <v>60</v>
      </c>
      <c r="P5" s="117">
        <v>720</v>
      </c>
      <c r="Q5" s="117">
        <v>792</v>
      </c>
      <c r="R5" s="117">
        <v>871.2</v>
      </c>
    </row>
    <row r="6" spans="1:19">
      <c r="A6" s="36" t="str">
        <f>'8.Prod'!A5</f>
        <v>Ventes de marchandises</v>
      </c>
      <c r="B6" s="28" t="str">
        <f>'8.Prod'!B5</f>
        <v>CA de Tenue de luxe Femme</v>
      </c>
      <c r="C6" s="28" t="str">
        <f>'8.Prod'!C5</f>
        <v>VEN1</v>
      </c>
      <c r="D6" s="117">
        <v>114</v>
      </c>
      <c r="E6" s="117">
        <v>114</v>
      </c>
      <c r="F6" s="117">
        <v>114</v>
      </c>
      <c r="G6" s="117">
        <v>114</v>
      </c>
      <c r="H6" s="117">
        <v>114</v>
      </c>
      <c r="I6" s="117">
        <v>114</v>
      </c>
      <c r="J6" s="117">
        <v>114</v>
      </c>
      <c r="K6" s="117">
        <v>114</v>
      </c>
      <c r="L6" s="117">
        <v>114</v>
      </c>
      <c r="M6" s="117">
        <v>114</v>
      </c>
      <c r="N6" s="117">
        <v>114</v>
      </c>
      <c r="O6" s="117">
        <v>114</v>
      </c>
      <c r="P6" s="117">
        <v>1368</v>
      </c>
      <c r="Q6" s="117">
        <v>1504.8</v>
      </c>
      <c r="R6" s="117">
        <v>1655.28</v>
      </c>
    </row>
    <row r="7" spans="1:19">
      <c r="A7" s="36" t="str">
        <f>'8.Prod'!A6</f>
        <v>Ventes de marchandises</v>
      </c>
      <c r="B7" s="28" t="str">
        <f>'8.Prod'!B6</f>
        <v>CA de Prêt-à-porter homme</v>
      </c>
      <c r="C7" s="28" t="str">
        <f>'8.Prod'!C6</f>
        <v>VEN1</v>
      </c>
      <c r="D7" s="117">
        <v>240</v>
      </c>
      <c r="E7" s="117">
        <v>240</v>
      </c>
      <c r="F7" s="117">
        <v>240</v>
      </c>
      <c r="G7" s="117">
        <v>240</v>
      </c>
      <c r="H7" s="117">
        <v>240</v>
      </c>
      <c r="I7" s="117">
        <v>240</v>
      </c>
      <c r="J7" s="117">
        <v>240</v>
      </c>
      <c r="K7" s="117">
        <v>240</v>
      </c>
      <c r="L7" s="117">
        <v>240</v>
      </c>
      <c r="M7" s="117">
        <v>240</v>
      </c>
      <c r="N7" s="117">
        <v>240</v>
      </c>
      <c r="O7" s="117">
        <v>240</v>
      </c>
      <c r="P7" s="117">
        <v>2880</v>
      </c>
      <c r="Q7" s="117">
        <v>3168</v>
      </c>
      <c r="R7" s="117">
        <v>3484.8</v>
      </c>
    </row>
    <row r="8" spans="1:19">
      <c r="A8" s="36" t="str">
        <f>'8.Prod'!A7</f>
        <v>Ventes de marchandises</v>
      </c>
      <c r="B8" s="28" t="str">
        <f>'8.Prod'!B7</f>
        <v>CA de Prêt-à-porter femme</v>
      </c>
      <c r="C8" s="28" t="str">
        <f>'8.Prod'!C7</f>
        <v>VEN1</v>
      </c>
      <c r="D8" s="117">
        <v>456</v>
      </c>
      <c r="E8" s="117">
        <v>456</v>
      </c>
      <c r="F8" s="117">
        <v>456</v>
      </c>
      <c r="G8" s="117">
        <v>456</v>
      </c>
      <c r="H8" s="117">
        <v>456</v>
      </c>
      <c r="I8" s="117">
        <v>456</v>
      </c>
      <c r="J8" s="117">
        <v>456</v>
      </c>
      <c r="K8" s="117">
        <v>456</v>
      </c>
      <c r="L8" s="117">
        <v>456</v>
      </c>
      <c r="M8" s="117">
        <v>456</v>
      </c>
      <c r="N8" s="117">
        <v>456</v>
      </c>
      <c r="O8" s="117">
        <v>456</v>
      </c>
      <c r="P8" s="117">
        <v>5472</v>
      </c>
      <c r="Q8" s="117">
        <v>6019.2</v>
      </c>
      <c r="R8" s="117">
        <v>6621.12</v>
      </c>
    </row>
    <row r="9" spans="1:19">
      <c r="A9" s="111" t="str">
        <f>'8.Prod'!A8</f>
        <v>Ventes de produits fabriqués</v>
      </c>
      <c r="B9" s="28">
        <f>'8.Prod'!B8</f>
        <v/>
      </c>
      <c r="C9" s="28" t="str">
        <f>'8.Prod'!C8</f>
        <v>VEN2</v>
      </c>
      <c r="D9" s="117"/>
      <c r="E9" s="117"/>
      <c r="F9" s="117"/>
      <c r="G9" s="117"/>
      <c r="H9" s="117"/>
      <c r="I9" s="117"/>
      <c r="J9" s="117"/>
      <c r="K9" s="117"/>
      <c r="L9" s="117"/>
      <c r="M9" s="117"/>
      <c r="N9" s="117"/>
      <c r="O9" s="117"/>
      <c r="P9" s="117"/>
      <c r="Q9" s="117">
        <v>1.1</v>
      </c>
      <c r="R9" s="117">
        <v>1.1</v>
      </c>
    </row>
    <row r="10" spans="1:19">
      <c r="A10" s="112" t="str">
        <f>'8.Prod'!A9</f>
        <v>Vente de services</v>
      </c>
      <c r="B10" s="28">
        <f>'8.Prod'!B9</f>
        <v/>
      </c>
      <c r="C10" s="28" t="str">
        <f>'8.Prod'!C9</f>
        <v>VEN3</v>
      </c>
      <c r="D10" s="117"/>
      <c r="E10" s="117"/>
      <c r="F10" s="117"/>
      <c r="G10" s="117"/>
      <c r="H10" s="117"/>
      <c r="I10" s="117"/>
      <c r="J10" s="117"/>
      <c r="K10" s="117"/>
      <c r="L10" s="117"/>
      <c r="M10" s="117"/>
      <c r="N10" s="117"/>
      <c r="O10" s="117"/>
      <c r="P10" s="117"/>
      <c r="Q10" s="117">
        <v>1.1</v>
      </c>
      <c r="R10" s="117">
        <v>1.1</v>
      </c>
    </row>
    <row r="11" spans="1:19">
      <c r="A11" s="36" t="str">
        <f>'8.Prod'!A10</f>
        <v>Ventes d'autre produits</v>
      </c>
      <c r="B11" s="28">
        <f>'8.Prod'!B10</f>
        <v/>
      </c>
      <c r="C11" s="28" t="str">
        <f>'8.Prod'!C10</f>
        <v>VEN4</v>
      </c>
      <c r="D11" s="117"/>
      <c r="E11" s="117"/>
      <c r="F11" s="117"/>
      <c r="G11" s="117"/>
      <c r="H11" s="117"/>
      <c r="I11" s="117"/>
      <c r="J11" s="117"/>
      <c r="K11" s="117"/>
      <c r="L11" s="117"/>
      <c r="M11" s="117"/>
      <c r="N11" s="117"/>
      <c r="O11" s="117"/>
      <c r="P11" s="117"/>
      <c r="Q11" s="117">
        <v>1.1</v>
      </c>
      <c r="R11" s="117">
        <v>1.1</v>
      </c>
    </row>
    <row r="12" spans="1:19">
      <c r="A12" s="36" t="s">
        <v>66</v>
      </c>
      <c r="B12" s="28"/>
      <c r="C12" s="28"/>
      <c r="D12" s="26">
        <f>AVERAGE(D5:D11)</f>
        <v>217.5</v>
      </c>
      <c r="E12" s="26">
        <f>AVERAGE(E5:E11)</f>
        <v>217.5</v>
      </c>
      <c r="F12" s="26">
        <f>AVERAGE(F5:F11)</f>
        <v>217.5</v>
      </c>
      <c r="G12" s="26">
        <f>AVERAGE(G5:G11)</f>
        <v>217.5</v>
      </c>
      <c r="H12" s="26">
        <f>AVERAGE(H5:H11)</f>
        <v>217.5</v>
      </c>
      <c r="I12" s="26">
        <f>AVERAGE(I5:I11)</f>
        <v>217.5</v>
      </c>
      <c r="J12" s="26">
        <f>AVERAGE(J5:J11)</f>
        <v>217.5</v>
      </c>
      <c r="K12" s="26">
        <f>AVERAGE(K5:K11)</f>
        <v>217.5</v>
      </c>
      <c r="L12" s="26">
        <f>AVERAGE(L5:L11)</f>
        <v>217.5</v>
      </c>
      <c r="M12" s="26">
        <f>AVERAGE(M5:M11)</f>
        <v>217.5</v>
      </c>
      <c r="N12" s="26">
        <f>AVERAGE(N5:N11)</f>
        <v>217.5</v>
      </c>
      <c r="O12" s="26">
        <f>AVERAGE(O5:O11)</f>
        <v>217.5</v>
      </c>
      <c r="P12" s="26">
        <f>AVERAGE(P5:P11)</f>
        <v>2610</v>
      </c>
      <c r="Q12" s="26">
        <f>AVERAGE(Q5:Q11)</f>
        <v>1641.0428571429</v>
      </c>
      <c r="R12" s="26">
        <f>AVERAGE(R5:R11)</f>
        <v>1805.1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FFFF00"/>
    <outlinePr summaryBelow="1" summaryRight="1"/>
  </sheetPr>
  <dimension ref="A1:S12"/>
  <sheetViews>
    <sheetView tabSelected="0" workbookViewId="0" showGridLines="true" showRowColHeaders="1" topLeftCell="M1">
      <selection activeCell="O5" sqref="O5:R11"/>
    </sheetView>
  </sheetViews>
  <sheetFormatPr defaultRowHeight="14.4" defaultColWidth="10.83203125" outlineLevelRow="0" outlineLevelCol="0"/>
  <cols>
    <col min="1" max="1" width="32.83203125" customWidth="true" style="24"/>
    <col min="2" max="2" width="7.1640625" customWidth="true" style="24"/>
    <col min="3" max="3" width="8.1640625" customWidth="true" style="24"/>
    <col min="4" max="4" width="9.83203125" customWidth="true" style="24"/>
    <col min="5" max="5" width="9.83203125" customWidth="true" style="24"/>
    <col min="6" max="6" width="9.83203125" customWidth="true" style="24"/>
    <col min="7" max="7" width="9.83203125" customWidth="true" style="24"/>
    <col min="8" max="8" width="9.83203125" customWidth="true" style="24"/>
    <col min="9" max="9" width="9.83203125" customWidth="true" style="24"/>
    <col min="10" max="10" width="9.83203125" customWidth="true" style="24"/>
    <col min="11" max="11" width="9.83203125" customWidth="true" style="24"/>
    <col min="12" max="12" width="9.83203125" customWidth="true" style="24"/>
    <col min="13" max="13" width="9.83203125" customWidth="true" style="24"/>
    <col min="14" max="14" width="9.83203125" customWidth="true" style="24"/>
    <col min="15" max="15" width="9.83203125" customWidth="true" style="24"/>
    <col min="16" max="16" width="10.83203125" style="24"/>
    <col min="17" max="17" width="10.83203125" style="24"/>
    <col min="18" max="18" width="10.83203125" style="24"/>
    <col min="19" max="19" width="10.83203125" style="24"/>
  </cols>
  <sheetData>
    <row r="1" spans="1:19" customHeight="1" ht="14">
      <c r="A1" s="124" t="s">
        <v>252</v>
      </c>
    </row>
    <row r="2" spans="1:19">
      <c r="D2" s="30" t="s">
        <v>249</v>
      </c>
      <c r="E2" s="30"/>
      <c r="F2" s="30"/>
      <c r="G2" s="30"/>
      <c r="H2" s="30"/>
      <c r="I2" s="30"/>
      <c r="J2" s="30"/>
      <c r="K2" s="30"/>
      <c r="L2" s="30"/>
      <c r="M2" s="30"/>
      <c r="N2" s="30"/>
      <c r="O2" s="30"/>
      <c r="P2" s="30" t="s">
        <v>250</v>
      </c>
      <c r="Q2" s="30"/>
      <c r="R2" s="30"/>
    </row>
    <row r="4" spans="1:19">
      <c r="A4" s="27" t="s">
        <v>5</v>
      </c>
      <c r="B4" s="27" t="s">
        <v>251</v>
      </c>
      <c r="C4" s="27" t="s">
        <v>240</v>
      </c>
      <c r="D4" s="27">
        <v>1</v>
      </c>
      <c r="E4" s="27">
        <v>2</v>
      </c>
      <c r="F4" s="27">
        <v>3</v>
      </c>
      <c r="G4" s="27">
        <v>4</v>
      </c>
      <c r="H4" s="27">
        <v>5</v>
      </c>
      <c r="I4" s="27">
        <v>6</v>
      </c>
      <c r="J4" s="27">
        <v>7</v>
      </c>
      <c r="K4" s="27">
        <v>8</v>
      </c>
      <c r="L4" s="27">
        <v>9</v>
      </c>
      <c r="M4" s="27">
        <v>10</v>
      </c>
      <c r="N4" s="27">
        <v>11</v>
      </c>
      <c r="O4" s="27">
        <v>12</v>
      </c>
      <c r="P4" s="27" t="s">
        <v>144</v>
      </c>
      <c r="Q4" s="27" t="s">
        <v>88</v>
      </c>
      <c r="R4" s="27" t="s">
        <v>89</v>
      </c>
    </row>
    <row r="5" spans="1:19">
      <c r="A5" s="36" t="str">
        <f>'8.Prod'!A4</f>
        <v>Ventes de marchandises</v>
      </c>
      <c r="B5" s="28" t="str">
        <f>'8.Prod'!B4</f>
        <v>CA de Tenue de luxe Homme</v>
      </c>
      <c r="C5" s="28" t="str">
        <f>'8.Prod'!C4</f>
        <v>VEN1</v>
      </c>
      <c r="D5" s="31">
        <f>'8.Prod'!$D4*'8.Prod'!$E4*'9.Var.Vente1'!D5</f>
        <v>1200000</v>
      </c>
      <c r="E5" s="31">
        <f>'8.Prod'!$D4*'8.Prod'!$E4*'9.Var.Vente1'!E5</f>
        <v>1200000</v>
      </c>
      <c r="F5" s="31">
        <f>'8.Prod'!$D4*'8.Prod'!$E4*'9.Var.Vente1'!F5</f>
        <v>1200000</v>
      </c>
      <c r="G5" s="31">
        <f>'8.Prod'!$D4*'8.Prod'!$E4*'9.Var.Vente1'!G5</f>
        <v>1200000</v>
      </c>
      <c r="H5" s="31">
        <f>'8.Prod'!$D4*'8.Prod'!$E4*'9.Var.Vente1'!H5</f>
        <v>1200000</v>
      </c>
      <c r="I5" s="31">
        <f>'8.Prod'!$D4*'8.Prod'!$E4*'9.Var.Vente1'!I5</f>
        <v>1200000</v>
      </c>
      <c r="J5" s="31">
        <f>'8.Prod'!$D4*'8.Prod'!$E4*'9.Var.Vente1'!J5</f>
        <v>1200000</v>
      </c>
      <c r="K5" s="31">
        <f>'8.Prod'!$D4*'8.Prod'!$E4*'9.Var.Vente1'!K5</f>
        <v>1200000</v>
      </c>
      <c r="L5" s="31">
        <f>'8.Prod'!$D4*'8.Prod'!$E4*'9.Var.Vente1'!L5</f>
        <v>1200000</v>
      </c>
      <c r="M5" s="31">
        <f>'8.Prod'!$D4*'8.Prod'!$E4*'9.Var.Vente1'!M5</f>
        <v>1200000</v>
      </c>
      <c r="N5" s="31">
        <f>'8.Prod'!$D4*'8.Prod'!$E4*'9.Var.Vente1'!N5</f>
        <v>1200000</v>
      </c>
      <c r="O5" s="31">
        <f>'8.Prod'!$D4*'8.Prod'!$E4*'9.Var.Vente1'!O5</f>
        <v>1200000</v>
      </c>
      <c r="P5" s="31">
        <f>'8.Prod'!$D4*'8.Prod'!$E4*'9.Var.Vente1'!P5</f>
        <v>14400000</v>
      </c>
      <c r="Q5" s="31">
        <f>'8.Prod'!$D4*'8.Prod'!$E4*'9.Var.Vente1'!Q5</f>
        <v>15840000</v>
      </c>
      <c r="R5" s="31">
        <f>'8.Prod'!$D4*'8.Prod'!$E4*'9.Var.Vente1'!R5</f>
        <v>17424000</v>
      </c>
    </row>
    <row r="6" spans="1:19">
      <c r="A6" s="36" t="str">
        <f>'8.Prod'!A5</f>
        <v>Ventes de marchandises</v>
      </c>
      <c r="B6" s="28" t="str">
        <f>'8.Prod'!B5</f>
        <v>CA de Tenue de luxe Femme</v>
      </c>
      <c r="C6" s="28" t="str">
        <f>'8.Prod'!C5</f>
        <v>VEN1</v>
      </c>
      <c r="D6" s="31">
        <f>'8.Prod'!$D5*'8.Prod'!$E5*'9.Var.Vente1'!D6</f>
        <v>1140000</v>
      </c>
      <c r="E6" s="31">
        <f>'8.Prod'!$D5*'8.Prod'!$E5*'9.Var.Vente1'!E6</f>
        <v>1140000</v>
      </c>
      <c r="F6" s="31">
        <f>'8.Prod'!$D5*'8.Prod'!$E5*'9.Var.Vente1'!F6</f>
        <v>1140000</v>
      </c>
      <c r="G6" s="31">
        <f>'8.Prod'!$D5*'8.Prod'!$E5*'9.Var.Vente1'!G6</f>
        <v>1140000</v>
      </c>
      <c r="H6" s="31">
        <f>'8.Prod'!$D5*'8.Prod'!$E5*'9.Var.Vente1'!H6</f>
        <v>1140000</v>
      </c>
      <c r="I6" s="31">
        <f>'8.Prod'!$D5*'8.Prod'!$E5*'9.Var.Vente1'!I6</f>
        <v>1140000</v>
      </c>
      <c r="J6" s="31">
        <f>'8.Prod'!$D5*'8.Prod'!$E5*'9.Var.Vente1'!J6</f>
        <v>1140000</v>
      </c>
      <c r="K6" s="31">
        <f>'8.Prod'!$D5*'8.Prod'!$E5*'9.Var.Vente1'!K6</f>
        <v>1140000</v>
      </c>
      <c r="L6" s="31">
        <f>'8.Prod'!$D5*'8.Prod'!$E5*'9.Var.Vente1'!L6</f>
        <v>1140000</v>
      </c>
      <c r="M6" s="31">
        <f>'8.Prod'!$D5*'8.Prod'!$E5*'9.Var.Vente1'!M6</f>
        <v>1140000</v>
      </c>
      <c r="N6" s="31">
        <f>'8.Prod'!$D5*'8.Prod'!$E5*'9.Var.Vente1'!N6</f>
        <v>1140000</v>
      </c>
      <c r="O6" s="31">
        <f>'8.Prod'!$D5*'8.Prod'!$E5*'9.Var.Vente1'!O6</f>
        <v>1140000</v>
      </c>
      <c r="P6" s="31">
        <f>'8.Prod'!$D5*'8.Prod'!$E5*'9.Var.Vente1'!P6</f>
        <v>13680000</v>
      </c>
      <c r="Q6" s="31">
        <f>'8.Prod'!$D5*'8.Prod'!$E5*'9.Var.Vente1'!Q6</f>
        <v>15048000</v>
      </c>
      <c r="R6" s="31">
        <f>'8.Prod'!$D5*'8.Prod'!$E5*'9.Var.Vente1'!R6</f>
        <v>16552800</v>
      </c>
    </row>
    <row r="7" spans="1:19">
      <c r="A7" s="36" t="str">
        <f>'8.Prod'!A6</f>
        <v>Ventes de marchandises</v>
      </c>
      <c r="B7" s="28" t="str">
        <f>'8.Prod'!B6</f>
        <v>CA de Prêt-à-porter homme</v>
      </c>
      <c r="C7" s="28" t="str">
        <f>'8.Prod'!C6</f>
        <v>VEN1</v>
      </c>
      <c r="D7" s="31">
        <f>'8.Prod'!$D6*'8.Prod'!$E6*'9.Var.Vente1'!D7</f>
        <v>240000</v>
      </c>
      <c r="E7" s="31">
        <f>'8.Prod'!$D6*'8.Prod'!$E6*'9.Var.Vente1'!E7</f>
        <v>240000</v>
      </c>
      <c r="F7" s="31">
        <f>'8.Prod'!$D6*'8.Prod'!$E6*'9.Var.Vente1'!F7</f>
        <v>240000</v>
      </c>
      <c r="G7" s="31">
        <f>'8.Prod'!$D6*'8.Prod'!$E6*'9.Var.Vente1'!G7</f>
        <v>240000</v>
      </c>
      <c r="H7" s="31">
        <f>'8.Prod'!$D6*'8.Prod'!$E6*'9.Var.Vente1'!H7</f>
        <v>240000</v>
      </c>
      <c r="I7" s="31">
        <f>'8.Prod'!$D6*'8.Prod'!$E6*'9.Var.Vente1'!I7</f>
        <v>240000</v>
      </c>
      <c r="J7" s="31">
        <f>'8.Prod'!$D6*'8.Prod'!$E6*'9.Var.Vente1'!J7</f>
        <v>240000</v>
      </c>
      <c r="K7" s="31">
        <f>'8.Prod'!$D6*'8.Prod'!$E6*'9.Var.Vente1'!K7</f>
        <v>240000</v>
      </c>
      <c r="L7" s="31">
        <f>'8.Prod'!$D6*'8.Prod'!$E6*'9.Var.Vente1'!L7</f>
        <v>240000</v>
      </c>
      <c r="M7" s="31">
        <f>'8.Prod'!$D6*'8.Prod'!$E6*'9.Var.Vente1'!M7</f>
        <v>240000</v>
      </c>
      <c r="N7" s="31">
        <f>'8.Prod'!$D6*'8.Prod'!$E6*'9.Var.Vente1'!N7</f>
        <v>240000</v>
      </c>
      <c r="O7" s="31">
        <f>'8.Prod'!$D6*'8.Prod'!$E6*'9.Var.Vente1'!O7</f>
        <v>240000</v>
      </c>
      <c r="P7" s="31">
        <f>'8.Prod'!$D6*'8.Prod'!$E6*'9.Var.Vente1'!P7</f>
        <v>2880000</v>
      </c>
      <c r="Q7" s="31">
        <f>'8.Prod'!$D6*'8.Prod'!$E6*'9.Var.Vente1'!Q7</f>
        <v>3168000</v>
      </c>
      <c r="R7" s="31">
        <f>'8.Prod'!$D6*'8.Prod'!$E6*'9.Var.Vente1'!R7</f>
        <v>3484800</v>
      </c>
    </row>
    <row r="8" spans="1:19">
      <c r="A8" s="36" t="str">
        <f>'8.Prod'!A7</f>
        <v>Ventes de marchandises</v>
      </c>
      <c r="B8" s="28" t="str">
        <f>'8.Prod'!B7</f>
        <v>CA de Prêt-à-porter femme</v>
      </c>
      <c r="C8" s="28" t="str">
        <f>'8.Prod'!C7</f>
        <v>VEN1</v>
      </c>
      <c r="D8" s="31">
        <f>'8.Prod'!$D7*'8.Prod'!$E7*'9.Var.Vente1'!D8</f>
        <v>228000</v>
      </c>
      <c r="E8" s="31">
        <f>'8.Prod'!$D7*'8.Prod'!$E7*'9.Var.Vente1'!E8</f>
        <v>228000</v>
      </c>
      <c r="F8" s="31">
        <f>'8.Prod'!$D7*'8.Prod'!$E7*'9.Var.Vente1'!F8</f>
        <v>228000</v>
      </c>
      <c r="G8" s="31">
        <f>'8.Prod'!$D7*'8.Prod'!$E7*'9.Var.Vente1'!G8</f>
        <v>228000</v>
      </c>
      <c r="H8" s="31">
        <f>'8.Prod'!$D7*'8.Prod'!$E7*'9.Var.Vente1'!H8</f>
        <v>228000</v>
      </c>
      <c r="I8" s="31">
        <f>'8.Prod'!$D7*'8.Prod'!$E7*'9.Var.Vente1'!I8</f>
        <v>228000</v>
      </c>
      <c r="J8" s="31">
        <f>'8.Prod'!$D7*'8.Prod'!$E7*'9.Var.Vente1'!J8</f>
        <v>228000</v>
      </c>
      <c r="K8" s="31">
        <f>'8.Prod'!$D7*'8.Prod'!$E7*'9.Var.Vente1'!K8</f>
        <v>228000</v>
      </c>
      <c r="L8" s="31">
        <f>'8.Prod'!$D7*'8.Prod'!$E7*'9.Var.Vente1'!L8</f>
        <v>228000</v>
      </c>
      <c r="M8" s="31">
        <f>'8.Prod'!$D7*'8.Prod'!$E7*'9.Var.Vente1'!M8</f>
        <v>228000</v>
      </c>
      <c r="N8" s="31">
        <f>'8.Prod'!$D7*'8.Prod'!$E7*'9.Var.Vente1'!N8</f>
        <v>228000</v>
      </c>
      <c r="O8" s="31">
        <f>'8.Prod'!$D7*'8.Prod'!$E7*'9.Var.Vente1'!O8</f>
        <v>228000</v>
      </c>
      <c r="P8" s="31">
        <f>'8.Prod'!$D7*'8.Prod'!$E7*'9.Var.Vente1'!P8</f>
        <v>2736000</v>
      </c>
      <c r="Q8" s="31">
        <f>'8.Prod'!$D7*'8.Prod'!$E7*'9.Var.Vente1'!Q8</f>
        <v>3009600</v>
      </c>
      <c r="R8" s="31">
        <f>'8.Prod'!$D7*'8.Prod'!$E7*'9.Var.Vente1'!R8</f>
        <v>3310560</v>
      </c>
    </row>
    <row r="9" spans="1:19">
      <c r="A9" s="111" t="str">
        <f>'8.Prod'!A8</f>
        <v>Ventes de produits fabriqués</v>
      </c>
      <c r="B9" s="28">
        <f>'8.Prod'!B8</f>
        <v/>
      </c>
      <c r="C9" s="28" t="str">
        <f>'8.Prod'!C8</f>
        <v>VEN2</v>
      </c>
      <c r="D9" s="31">
        <f>'8.Prod'!$D8*'8.Prod'!$E8*'9.Var.Vente1'!D9</f>
        <v>0</v>
      </c>
      <c r="E9" s="31">
        <f>'8.Prod'!$D8*'8.Prod'!$E8*'9.Var.Vente1'!E9</f>
        <v>0</v>
      </c>
      <c r="F9" s="31">
        <f>'8.Prod'!$D8*'8.Prod'!$E8*'9.Var.Vente1'!F9</f>
        <v>0</v>
      </c>
      <c r="G9" s="31">
        <f>'8.Prod'!$D8*'8.Prod'!$E8*'9.Var.Vente1'!G9</f>
        <v>0</v>
      </c>
      <c r="H9" s="31">
        <f>'8.Prod'!$D8*'8.Prod'!$E8*'9.Var.Vente1'!H9</f>
        <v>0</v>
      </c>
      <c r="I9" s="31">
        <f>'8.Prod'!$D8*'8.Prod'!$E8*'9.Var.Vente1'!I9</f>
        <v>0</v>
      </c>
      <c r="J9" s="31">
        <f>'8.Prod'!$D8*'8.Prod'!$E8*'9.Var.Vente1'!J9</f>
        <v>0</v>
      </c>
      <c r="K9" s="31">
        <f>'8.Prod'!$D8*'8.Prod'!$E8*'9.Var.Vente1'!K9</f>
        <v>0</v>
      </c>
      <c r="L9" s="31">
        <f>'8.Prod'!$D8*'8.Prod'!$E8*'9.Var.Vente1'!L9</f>
        <v>0</v>
      </c>
      <c r="M9" s="31">
        <f>'8.Prod'!$D8*'8.Prod'!$E8*'9.Var.Vente1'!M9</f>
        <v>0</v>
      </c>
      <c r="N9" s="31">
        <f>'8.Prod'!$D8*'8.Prod'!$E8*'9.Var.Vente1'!N9</f>
        <v>0</v>
      </c>
      <c r="O9" s="31">
        <f>'8.Prod'!$D8*'8.Prod'!$E8*'9.Var.Vente1'!O9</f>
        <v>0</v>
      </c>
      <c r="P9" s="31">
        <f>'8.Prod'!$D8*'8.Prod'!$E8*'9.Var.Vente1'!P9</f>
        <v>0</v>
      </c>
      <c r="Q9" s="31">
        <f>'8.Prod'!$D8*'8.Prod'!$E8*'9.Var.Vente1'!Q9</f>
        <v>0</v>
      </c>
      <c r="R9" s="31">
        <f>'8.Prod'!$D8*'8.Prod'!$E8*'9.Var.Vente1'!R9</f>
        <v>0</v>
      </c>
    </row>
    <row r="10" spans="1:19">
      <c r="A10" s="112" t="str">
        <f>'8.Prod'!A9</f>
        <v>Vente de services</v>
      </c>
      <c r="B10" s="28">
        <f>'8.Prod'!B9</f>
        <v/>
      </c>
      <c r="C10" s="28" t="str">
        <f>'8.Prod'!C9</f>
        <v>VEN3</v>
      </c>
      <c r="D10" s="31">
        <f>'8.Prod'!$D9*'8.Prod'!$E9*'9.Var.Vente1'!D10</f>
        <v>0</v>
      </c>
      <c r="E10" s="31">
        <f>'8.Prod'!$D9*'8.Prod'!$E9*'9.Var.Vente1'!E10</f>
        <v>0</v>
      </c>
      <c r="F10" s="31">
        <f>'8.Prod'!$D9*'8.Prod'!$E9*'9.Var.Vente1'!F10</f>
        <v>0</v>
      </c>
      <c r="G10" s="31">
        <f>'8.Prod'!$D9*'8.Prod'!$E9*'9.Var.Vente1'!G10</f>
        <v>0</v>
      </c>
      <c r="H10" s="31">
        <f>'8.Prod'!$D9*'8.Prod'!$E9*'9.Var.Vente1'!H10</f>
        <v>0</v>
      </c>
      <c r="I10" s="31">
        <f>'8.Prod'!$D9*'8.Prod'!$E9*'9.Var.Vente1'!I10</f>
        <v>0</v>
      </c>
      <c r="J10" s="31">
        <f>'8.Prod'!$D9*'8.Prod'!$E9*'9.Var.Vente1'!J10</f>
        <v>0</v>
      </c>
      <c r="K10" s="31">
        <f>'8.Prod'!$D9*'8.Prod'!$E9*'9.Var.Vente1'!K10</f>
        <v>0</v>
      </c>
      <c r="L10" s="31">
        <f>'8.Prod'!$D9*'8.Prod'!$E9*'9.Var.Vente1'!L10</f>
        <v>0</v>
      </c>
      <c r="M10" s="31">
        <f>'8.Prod'!$D9*'8.Prod'!$E9*'9.Var.Vente1'!M10</f>
        <v>0</v>
      </c>
      <c r="N10" s="31">
        <f>'8.Prod'!$D9*'8.Prod'!$E9*'9.Var.Vente1'!N10</f>
        <v>0</v>
      </c>
      <c r="O10" s="31">
        <f>'8.Prod'!$D9*'8.Prod'!$E9*'9.Var.Vente1'!O10</f>
        <v>0</v>
      </c>
      <c r="P10" s="31">
        <f>'8.Prod'!$D9*'8.Prod'!$E9*'9.Var.Vente1'!P10</f>
        <v>0</v>
      </c>
      <c r="Q10" s="31">
        <f>'8.Prod'!$D9*'8.Prod'!$E9*'9.Var.Vente1'!Q10</f>
        <v>0</v>
      </c>
      <c r="R10" s="31">
        <f>'8.Prod'!$D9*'8.Prod'!$E9*'9.Var.Vente1'!R10</f>
        <v>0</v>
      </c>
    </row>
    <row r="11" spans="1:19">
      <c r="A11" s="36" t="str">
        <f>'8.Prod'!A10</f>
        <v>Ventes d'autre produits</v>
      </c>
      <c r="B11" s="28">
        <f>'8.Prod'!B10</f>
        <v/>
      </c>
      <c r="C11" s="28" t="str">
        <f>'8.Prod'!C10</f>
        <v>VEN4</v>
      </c>
      <c r="D11" s="31">
        <f>'8.Prod'!$D10*'8.Prod'!$E10*'9.Var.Vente1'!D11</f>
        <v>0</v>
      </c>
      <c r="E11" s="31">
        <f>'8.Prod'!$D10*'8.Prod'!$E10*'9.Var.Vente1'!E11</f>
        <v>0</v>
      </c>
      <c r="F11" s="31">
        <f>'8.Prod'!$D10*'8.Prod'!$E10*'9.Var.Vente1'!F11</f>
        <v>0</v>
      </c>
      <c r="G11" s="31">
        <f>'8.Prod'!$D10*'8.Prod'!$E10*'9.Var.Vente1'!G11</f>
        <v>0</v>
      </c>
      <c r="H11" s="31">
        <f>'8.Prod'!$D10*'8.Prod'!$E10*'9.Var.Vente1'!H11</f>
        <v>0</v>
      </c>
      <c r="I11" s="31">
        <f>'8.Prod'!$D10*'8.Prod'!$E10*'9.Var.Vente1'!I11</f>
        <v>0</v>
      </c>
      <c r="J11" s="31">
        <f>'8.Prod'!$D10*'8.Prod'!$E10*'9.Var.Vente1'!J11</f>
        <v>0</v>
      </c>
      <c r="K11" s="31">
        <f>'8.Prod'!$D10*'8.Prod'!$E10*'9.Var.Vente1'!K11</f>
        <v>0</v>
      </c>
      <c r="L11" s="31">
        <f>'8.Prod'!$D10*'8.Prod'!$E10*'9.Var.Vente1'!L11</f>
        <v>0</v>
      </c>
      <c r="M11" s="31">
        <f>'8.Prod'!$D10*'8.Prod'!$E10*'9.Var.Vente1'!M11</f>
        <v>0</v>
      </c>
      <c r="N11" s="31">
        <f>'8.Prod'!$D10*'8.Prod'!$E10*'9.Var.Vente1'!N11</f>
        <v>0</v>
      </c>
      <c r="O11" s="31">
        <f>'8.Prod'!$D10*'8.Prod'!$E10*'9.Var.Vente1'!O11</f>
        <v>0</v>
      </c>
      <c r="P11" s="31">
        <f>'8.Prod'!$D10*'8.Prod'!$E10*'9.Var.Vente1'!P11</f>
        <v>0</v>
      </c>
      <c r="Q11" s="31">
        <f>'8.Prod'!$D10*'8.Prod'!$E10*'9.Var.Vente1'!Q11</f>
        <v>0</v>
      </c>
      <c r="R11" s="31">
        <f>'8.Prod'!$D10*'8.Prod'!$E10*'9.Var.Vente1'!R11</f>
        <v>0</v>
      </c>
    </row>
    <row r="12" spans="1:19">
      <c r="A12" s="114" t="s">
        <v>66</v>
      </c>
      <c r="B12" s="28"/>
      <c r="C12" s="28"/>
      <c r="D12" s="31">
        <f>SUM(D5:D11)</f>
        <v>2808000</v>
      </c>
      <c r="E12" s="31">
        <f>SUM(E5:E11)</f>
        <v>2808000</v>
      </c>
      <c r="F12" s="31">
        <f>SUM(F5:F11)</f>
        <v>2808000</v>
      </c>
      <c r="G12" s="31">
        <f>SUM(G5:G11)</f>
        <v>2808000</v>
      </c>
      <c r="H12" s="31">
        <f>SUM(H5:H11)</f>
        <v>2808000</v>
      </c>
      <c r="I12" s="31">
        <f>SUM(I5:I11)</f>
        <v>2808000</v>
      </c>
      <c r="J12" s="31">
        <f>SUM(J5:J11)</f>
        <v>2808000</v>
      </c>
      <c r="K12" s="31">
        <f>SUM(K5:K11)</f>
        <v>2808000</v>
      </c>
      <c r="L12" s="31">
        <f>SUM(L5:L11)</f>
        <v>2808000</v>
      </c>
      <c r="M12" s="31">
        <f>SUM(M5:M11)</f>
        <v>2808000</v>
      </c>
      <c r="N12" s="31">
        <f>SUM(N5:N11)</f>
        <v>2808000</v>
      </c>
      <c r="O12" s="31">
        <f>SUM(O5:O11)</f>
        <v>2808000</v>
      </c>
      <c r="P12" s="31">
        <f>SUM(P5:P11)</f>
        <v>33696000</v>
      </c>
      <c r="Q12" s="31">
        <f>SUM(Q5:Q11)</f>
        <v>37065600</v>
      </c>
      <c r="R12" s="31">
        <f>SUM(R5:R11)</f>
        <v>40772160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portrait" scale="100" fitToHeight="1" fitToWidth="1" pageOrder="downThenOver" r:id="rId1"/>
  <headerFooter differentOddEven="false" differentFirst="false" scaleWithDoc="true" alignWithMargins="true">
    <oddHeader/>
    <oddFooter/>
    <evenHeader/>
    <evenFooter/>
    <firstHeader/>
    <first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C00000"/>
    <outlinePr summaryBelow="1" summaryRight="1"/>
  </sheetPr>
  <dimension ref="A1:F40"/>
  <sheetViews>
    <sheetView tabSelected="0" workbookViewId="0" showGridLines="true" showRowColHeaders="1">
      <selection activeCell="B8" sqref="B8"/>
    </sheetView>
  </sheetViews>
  <sheetFormatPr defaultRowHeight="14.4" defaultColWidth="10.83203125" outlineLevelRow="0" outlineLevelCol="0"/>
  <cols>
    <col min="1" max="1" width="37.5" customWidth="true" style="24"/>
    <col min="2" max="2" width="26.5" customWidth="true" style="24"/>
    <col min="3" max="3" width="6.1640625" customWidth="true" style="24"/>
    <col min="4" max="4" width="8.83203125" customWidth="true" style="24"/>
    <col min="5" max="5" width="10.1640625" customWidth="true" style="24"/>
    <col min="6" max="6" width="10.83203125" style="24"/>
  </cols>
  <sheetData>
    <row r="1" spans="1:6" customHeight="1" ht="14">
      <c r="A1" s="124" t="s">
        <v>253</v>
      </c>
    </row>
    <row r="3" spans="1:6">
      <c r="A3" s="27" t="s">
        <v>254</v>
      </c>
      <c r="B3" s="116" t="s">
        <v>6</v>
      </c>
      <c r="C3" s="116" t="s">
        <v>240</v>
      </c>
      <c r="D3" s="116" t="s">
        <v>255</v>
      </c>
      <c r="E3" s="116" t="s">
        <v>183</v>
      </c>
    </row>
    <row r="4" spans="1:6">
      <c r="A4" s="35" t="s">
        <v>256</v>
      </c>
      <c r="B4" s="117" t="s">
        <v>257</v>
      </c>
      <c r="C4" s="117" t="s">
        <v>258</v>
      </c>
      <c r="D4" s="118">
        <v>1</v>
      </c>
      <c r="E4" s="118">
        <v>6000</v>
      </c>
    </row>
    <row r="5" spans="1:6">
      <c r="A5" s="35" t="s">
        <v>256</v>
      </c>
      <c r="B5" s="117" t="s">
        <v>259</v>
      </c>
      <c r="C5" s="117" t="s">
        <v>258</v>
      </c>
      <c r="D5" s="118">
        <v>1</v>
      </c>
      <c r="E5" s="118">
        <v>12000</v>
      </c>
    </row>
    <row r="6" spans="1:6">
      <c r="A6" s="35" t="s">
        <v>256</v>
      </c>
      <c r="B6" s="117" t="s">
        <v>260</v>
      </c>
      <c r="C6" s="117" t="s">
        <v>258</v>
      </c>
      <c r="D6" s="118">
        <v>1</v>
      </c>
      <c r="E6" s="118">
        <v>3000</v>
      </c>
    </row>
    <row r="7" spans="1:6">
      <c r="A7" s="35" t="s">
        <v>256</v>
      </c>
      <c r="B7" s="117" t="s">
        <v>261</v>
      </c>
      <c r="C7" s="117" t="s">
        <v>258</v>
      </c>
      <c r="D7" s="118">
        <v>1</v>
      </c>
      <c r="E7" s="118">
        <v>1500</v>
      </c>
    </row>
    <row r="8" spans="1:6">
      <c r="A8" s="109" t="s">
        <v>262</v>
      </c>
      <c r="B8" s="117"/>
      <c r="C8" s="117" t="s">
        <v>263</v>
      </c>
      <c r="D8" s="118">
        <v>1</v>
      </c>
      <c r="E8" s="118"/>
    </row>
    <row r="9" spans="1:6">
      <c r="A9" s="35" t="s">
        <v>264</v>
      </c>
      <c r="B9" s="117"/>
      <c r="C9" s="117" t="s">
        <v>265</v>
      </c>
      <c r="D9" s="118">
        <v>1</v>
      </c>
      <c r="E9" s="118"/>
    </row>
    <row r="10" spans="1:6">
      <c r="A10" s="109" t="s">
        <v>266</v>
      </c>
      <c r="B10" s="117"/>
      <c r="C10" s="117" t="s">
        <v>267</v>
      </c>
      <c r="D10" s="118">
        <v>1</v>
      </c>
      <c r="E10" s="118"/>
    </row>
    <row r="11" spans="1:6">
      <c r="A11" s="113" t="s">
        <v>268</v>
      </c>
      <c r="B11" s="117"/>
      <c r="C11" s="117" t="s">
        <v>269</v>
      </c>
      <c r="D11" s="118">
        <v>1</v>
      </c>
      <c r="E11" s="118"/>
    </row>
    <row r="12" spans="1:6">
      <c r="A12" s="109" t="s">
        <v>270</v>
      </c>
      <c r="B12" s="117"/>
      <c r="C12" s="117" t="s">
        <v>271</v>
      </c>
      <c r="D12" s="118">
        <v>1</v>
      </c>
      <c r="E12" s="118"/>
    </row>
    <row r="13" spans="1:6">
      <c r="A13" s="35" t="s">
        <v>272</v>
      </c>
      <c r="B13" s="117" t="s">
        <v>273</v>
      </c>
      <c r="C13" s="117" t="s">
        <v>274</v>
      </c>
      <c r="D13" s="118">
        <v>1</v>
      </c>
      <c r="E13" s="118">
        <v>200</v>
      </c>
    </row>
    <row r="14" spans="1:6">
      <c r="A14" s="35" t="s">
        <v>272</v>
      </c>
      <c r="B14" s="117" t="s">
        <v>275</v>
      </c>
      <c r="C14" s="117" t="s">
        <v>274</v>
      </c>
      <c r="D14" s="118">
        <v>1</v>
      </c>
      <c r="E14" s="118">
        <v>400</v>
      </c>
    </row>
    <row r="15" spans="1:6">
      <c r="A15" s="35" t="s">
        <v>272</v>
      </c>
      <c r="B15" s="117" t="s">
        <v>276</v>
      </c>
      <c r="C15" s="117" t="s">
        <v>274</v>
      </c>
      <c r="D15" s="118">
        <v>1</v>
      </c>
      <c r="E15" s="118">
        <v>100</v>
      </c>
    </row>
    <row r="16" spans="1:6">
      <c r="A16" s="35" t="s">
        <v>272</v>
      </c>
      <c r="B16" s="117" t="s">
        <v>277</v>
      </c>
      <c r="C16" s="117" t="s">
        <v>274</v>
      </c>
      <c r="D16" s="118">
        <v>1</v>
      </c>
      <c r="E16" s="118">
        <v>50</v>
      </c>
    </row>
    <row r="17" spans="1:6">
      <c r="A17" s="35" t="s">
        <v>272</v>
      </c>
      <c r="B17" s="117" t="s">
        <v>278</v>
      </c>
      <c r="C17" s="117" t="s">
        <v>274</v>
      </c>
      <c r="D17" s="118">
        <v>1</v>
      </c>
      <c r="E17" s="118">
        <v>400</v>
      </c>
    </row>
    <row r="18" spans="1:6">
      <c r="A18" s="35" t="s">
        <v>272</v>
      </c>
      <c r="B18" s="117" t="s">
        <v>279</v>
      </c>
      <c r="C18" s="117" t="s">
        <v>274</v>
      </c>
      <c r="D18" s="118">
        <v>1</v>
      </c>
      <c r="E18" s="118">
        <v>800</v>
      </c>
    </row>
    <row r="19" spans="1:6">
      <c r="A19" s="35" t="s">
        <v>272</v>
      </c>
      <c r="B19" s="117" t="s">
        <v>280</v>
      </c>
      <c r="C19" s="117" t="s">
        <v>274</v>
      </c>
      <c r="D19" s="118">
        <v>1</v>
      </c>
      <c r="E19" s="118">
        <v>200</v>
      </c>
    </row>
    <row r="20" spans="1:6">
      <c r="A20" s="35" t="s">
        <v>272</v>
      </c>
      <c r="B20" s="117" t="s">
        <v>281</v>
      </c>
      <c r="C20" s="117" t="s">
        <v>274</v>
      </c>
      <c r="D20" s="118">
        <v>1</v>
      </c>
      <c r="E20" s="118">
        <v>100</v>
      </c>
    </row>
    <row r="21" spans="1:6">
      <c r="A21" s="35" t="s">
        <v>272</v>
      </c>
      <c r="B21" s="117" t="s">
        <v>282</v>
      </c>
      <c r="C21" s="117" t="s">
        <v>274</v>
      </c>
      <c r="D21" s="118">
        <v>1</v>
      </c>
      <c r="E21" s="118">
        <v>200</v>
      </c>
    </row>
    <row r="22" spans="1:6">
      <c r="A22" s="35" t="s">
        <v>272</v>
      </c>
      <c r="B22" s="117" t="s">
        <v>283</v>
      </c>
      <c r="C22" s="117" t="s">
        <v>274</v>
      </c>
      <c r="D22" s="118">
        <v>1</v>
      </c>
      <c r="E22" s="118">
        <v>400</v>
      </c>
    </row>
    <row r="23" spans="1:6">
      <c r="A23" s="35" t="s">
        <v>272</v>
      </c>
      <c r="B23" s="117" t="s">
        <v>284</v>
      </c>
      <c r="C23" s="117" t="s">
        <v>274</v>
      </c>
      <c r="D23" s="118">
        <v>1</v>
      </c>
      <c r="E23" s="118">
        <v>100</v>
      </c>
    </row>
    <row r="24" spans="1:6">
      <c r="A24" s="35" t="s">
        <v>272</v>
      </c>
      <c r="B24" s="117" t="s">
        <v>285</v>
      </c>
      <c r="C24" s="117" t="s">
        <v>274</v>
      </c>
      <c r="D24" s="118">
        <v>1</v>
      </c>
      <c r="E24" s="118">
        <v>50</v>
      </c>
    </row>
    <row r="25" spans="1:6">
      <c r="A25" s="113" t="s">
        <v>286</v>
      </c>
      <c r="B25" s="117"/>
      <c r="C25" s="117" t="s">
        <v>287</v>
      </c>
      <c r="D25" s="118">
        <v>1</v>
      </c>
      <c r="E25" s="118"/>
    </row>
    <row r="26" spans="1:6">
      <c r="A26" s="37" t="s">
        <v>288</v>
      </c>
      <c r="B26" s="117" t="s">
        <v>289</v>
      </c>
      <c r="C26" s="117" t="s">
        <v>290</v>
      </c>
      <c r="D26" s="118">
        <v>1</v>
      </c>
      <c r="E26" s="121">
        <v>0.22</v>
      </c>
    </row>
    <row r="27" spans="1:6">
      <c r="A27" s="37" t="s">
        <v>291</v>
      </c>
      <c r="B27" s="117" t="s">
        <v>292</v>
      </c>
      <c r="C27" s="117" t="s">
        <v>293</v>
      </c>
      <c r="D27" s="118">
        <v>1</v>
      </c>
      <c r="E27" s="121">
        <v>0.0048</v>
      </c>
    </row>
    <row r="28" spans="1:6">
      <c r="A28" s="37" t="s">
        <v>294</v>
      </c>
      <c r="B28" s="117" t="s">
        <v>295</v>
      </c>
      <c r="C28" s="117" t="s">
        <v>296</v>
      </c>
      <c r="D28" s="118">
        <v>1</v>
      </c>
      <c r="E28" s="121">
        <v>0.0307</v>
      </c>
    </row>
    <row r="29" spans="1:6">
      <c r="A29" s="26" t="s">
        <v>297</v>
      </c>
      <c r="B29" s="117" t="s">
        <v>298</v>
      </c>
      <c r="C29" s="117" t="s">
        <v>299</v>
      </c>
      <c r="D29" s="118">
        <v>1</v>
      </c>
      <c r="E29" s="118">
        <v>1900000</v>
      </c>
    </row>
    <row r="30" spans="1:6">
      <c r="A30" s="26" t="s">
        <v>300</v>
      </c>
      <c r="B30" s="117" t="s">
        <v>301</v>
      </c>
      <c r="C30" s="117" t="s">
        <v>302</v>
      </c>
      <c r="D30" s="118">
        <v>1</v>
      </c>
      <c r="E30" s="118">
        <f>15000+10000</f>
        <v>25000</v>
      </c>
    </row>
    <row r="31" spans="1:6">
      <c r="A31" s="26" t="s">
        <v>303</v>
      </c>
      <c r="B31" s="117" t="s">
        <v>304</v>
      </c>
      <c r="C31" s="117" t="s">
        <v>305</v>
      </c>
      <c r="D31" s="118">
        <v>1</v>
      </c>
      <c r="E31" s="118">
        <v>82500</v>
      </c>
    </row>
    <row r="32" spans="1:6">
      <c r="A32" s="26" t="s">
        <v>306</v>
      </c>
      <c r="B32" s="117" t="s">
        <v>307</v>
      </c>
      <c r="C32" s="117" t="s">
        <v>308</v>
      </c>
      <c r="D32" s="118">
        <v>1</v>
      </c>
      <c r="E32" s="118">
        <v>50000</v>
      </c>
    </row>
    <row r="33" spans="1:6">
      <c r="A33" s="26" t="s">
        <v>309</v>
      </c>
      <c r="B33" s="117" t="s">
        <v>310</v>
      </c>
      <c r="C33" s="117" t="s">
        <v>311</v>
      </c>
      <c r="D33" s="118">
        <v>1</v>
      </c>
      <c r="E33" s="118">
        <f>50000</f>
        <v>50000</v>
      </c>
    </row>
    <row r="34" spans="1:6">
      <c r="A34" s="26" t="s">
        <v>312</v>
      </c>
      <c r="B34" s="117"/>
      <c r="C34" s="117" t="s">
        <v>313</v>
      </c>
      <c r="D34" s="118">
        <v>1</v>
      </c>
      <c r="E34" s="118"/>
    </row>
    <row r="35" spans="1:6">
      <c r="A35" s="26" t="s">
        <v>314</v>
      </c>
      <c r="B35" s="117" t="s">
        <v>315</v>
      </c>
      <c r="C35" s="117" t="s">
        <v>316</v>
      </c>
      <c r="D35" s="118">
        <v>1</v>
      </c>
      <c r="E35" s="118">
        <v>250000</v>
      </c>
    </row>
    <row r="36" spans="1:6">
      <c r="A36" s="26" t="s">
        <v>317</v>
      </c>
      <c r="B36" s="117" t="s">
        <v>318</v>
      </c>
      <c r="C36" s="117" t="s">
        <v>319</v>
      </c>
      <c r="D36" s="118">
        <v>1</v>
      </c>
      <c r="E36" s="118">
        <v>12000</v>
      </c>
    </row>
    <row r="37" spans="1:6">
      <c r="A37" s="26" t="s">
        <v>320</v>
      </c>
      <c r="B37" s="117" t="s">
        <v>321</v>
      </c>
      <c r="C37" s="117" t="s">
        <v>322</v>
      </c>
      <c r="D37" s="118">
        <v>1</v>
      </c>
      <c r="E37" s="118">
        <f>370000+10000</f>
        <v>380000</v>
      </c>
    </row>
    <row r="38" spans="1:6">
      <c r="A38" s="26" t="s">
        <v>323</v>
      </c>
      <c r="B38" s="117"/>
      <c r="C38" s="117" t="s">
        <v>324</v>
      </c>
      <c r="D38" s="118">
        <v>1</v>
      </c>
      <c r="E38" s="118"/>
    </row>
    <row r="39" spans="1:6">
      <c r="A39" s="26" t="s">
        <v>325</v>
      </c>
      <c r="B39" s="117"/>
      <c r="C39" s="117" t="s">
        <v>326</v>
      </c>
      <c r="D39" s="118">
        <v>1</v>
      </c>
      <c r="E39" s="122"/>
    </row>
    <row r="40" spans="1:6">
      <c r="A40" s="37" t="s">
        <v>327</v>
      </c>
      <c r="B40" s="117" t="s">
        <v>328</v>
      </c>
      <c r="C40" s="117" t="s">
        <v>329</v>
      </c>
      <c r="D40" s="118">
        <v>1</v>
      </c>
      <c r="E40" s="121">
        <v>0.0351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C00000"/>
    <outlinePr summaryBelow="1" summaryRight="1"/>
  </sheetPr>
  <dimension ref="A1:S30"/>
  <sheetViews>
    <sheetView tabSelected="0" workbookViewId="0" showGridLines="true" showRowColHeaders="1" topLeftCell="G1">
      <selection activeCell="P4" sqref="P4:P7"/>
    </sheetView>
  </sheetViews>
  <sheetFormatPr defaultRowHeight="14.4" defaultColWidth="10.83203125" outlineLevelRow="0" outlineLevelCol="0"/>
  <cols>
    <col min="1" max="1" width="29.83203125" customWidth="true" style="24"/>
    <col min="2" max="2" width="27.5" customWidth="true" style="24"/>
    <col min="3" max="3" width="7" customWidth="true" style="24"/>
    <col min="4" max="4" width="9.1640625" customWidth="true" style="24"/>
    <col min="5" max="5" width="8.83203125" customWidth="true" style="24"/>
    <col min="6" max="6" width="8.83203125" customWidth="true" style="24"/>
    <col min="7" max="7" width="8.83203125" customWidth="true" style="24"/>
    <col min="8" max="8" width="8.83203125" customWidth="true" style="24"/>
    <col min="9" max="9" width="8.83203125" customWidth="true" style="24"/>
    <col min="10" max="10" width="8.83203125" customWidth="true" style="24"/>
    <col min="11" max="11" width="8.83203125" customWidth="true" style="24"/>
    <col min="12" max="12" width="8.83203125" customWidth="true" style="24"/>
    <col min="13" max="13" width="8.83203125" customWidth="true" style="24"/>
    <col min="14" max="14" width="8.83203125" customWidth="true" style="24"/>
    <col min="15" max="15" width="10.1640625" customWidth="true" style="24"/>
    <col min="16" max="16" width="12.5" customWidth="true" style="24"/>
    <col min="17" max="17" width="12.5" customWidth="true" style="24"/>
    <col min="18" max="18" width="12.5" customWidth="true" style="24"/>
    <col min="19" max="19" width="10.83203125" style="24"/>
  </cols>
  <sheetData>
    <row r="1" spans="1:19" customHeight="1" ht="14">
      <c r="A1" s="124" t="s">
        <v>330</v>
      </c>
    </row>
    <row r="2" spans="1:19">
      <c r="D2" s="30" t="s">
        <v>331</v>
      </c>
      <c r="E2" s="30"/>
      <c r="F2" s="30"/>
      <c r="G2" s="30"/>
      <c r="H2" s="30"/>
      <c r="I2" s="30"/>
      <c r="J2" s="30"/>
      <c r="K2" s="30"/>
      <c r="L2" s="30"/>
      <c r="M2" s="30"/>
      <c r="N2" s="30"/>
      <c r="O2" s="30"/>
      <c r="P2" s="32" t="s">
        <v>332</v>
      </c>
      <c r="Q2" s="32"/>
      <c r="R2" s="32"/>
    </row>
    <row r="3" spans="1:19">
      <c r="A3" s="27" t="s">
        <v>254</v>
      </c>
      <c r="B3" s="33" t="s">
        <v>333</v>
      </c>
      <c r="C3" s="33" t="s">
        <v>240</v>
      </c>
      <c r="D3" s="33">
        <v>1</v>
      </c>
      <c r="E3" s="33">
        <v>2</v>
      </c>
      <c r="F3" s="33">
        <v>3</v>
      </c>
      <c r="G3" s="33">
        <v>4</v>
      </c>
      <c r="H3" s="33">
        <v>5</v>
      </c>
      <c r="I3" s="33">
        <v>6</v>
      </c>
      <c r="J3" s="33">
        <v>7</v>
      </c>
      <c r="K3" s="33">
        <v>8</v>
      </c>
      <c r="L3" s="33">
        <v>9</v>
      </c>
      <c r="M3" s="33">
        <v>10</v>
      </c>
      <c r="N3" s="33">
        <v>11</v>
      </c>
      <c r="O3" s="33">
        <v>12</v>
      </c>
      <c r="P3" s="40" t="s">
        <v>144</v>
      </c>
      <c r="Q3" s="40" t="s">
        <v>88</v>
      </c>
      <c r="R3" s="40" t="s">
        <v>89</v>
      </c>
    </row>
    <row r="4" spans="1:19">
      <c r="A4" s="35" t="str">
        <f>'11.Charges'!A4</f>
        <v>Achat de marchandises</v>
      </c>
      <c r="B4" s="31" t="str">
        <f>'11.Charges'!B4</f>
        <v>Achat de Tenue de luxe Homme</v>
      </c>
      <c r="C4" s="31" t="str">
        <f>'11.Charges'!C4</f>
        <v>AMA1</v>
      </c>
      <c r="D4" s="108">
        <f>'11.Charges'!$D4*'11.Charges'!$E4*'9.Var.Vente1'!D$5</f>
        <v>360000</v>
      </c>
      <c r="E4" s="31">
        <f>'11.Charges'!$D4*'11.Charges'!$E4*'9.Var.Vente1'!E$5</f>
        <v>360000</v>
      </c>
      <c r="F4" s="31">
        <f>'11.Charges'!$D4*'11.Charges'!$E4*'9.Var.Vente1'!F$5</f>
        <v>360000</v>
      </c>
      <c r="G4" s="31">
        <f>'11.Charges'!$D4*'11.Charges'!$E4*'9.Var.Vente1'!G$5</f>
        <v>360000</v>
      </c>
      <c r="H4" s="31">
        <f>'11.Charges'!$D4*'11.Charges'!$E4*'9.Var.Vente1'!H$5</f>
        <v>360000</v>
      </c>
      <c r="I4" s="31">
        <f>'11.Charges'!$D4*'11.Charges'!$E4*'9.Var.Vente1'!I$5</f>
        <v>360000</v>
      </c>
      <c r="J4" s="31">
        <f>'11.Charges'!$D4*'11.Charges'!$E4*'9.Var.Vente1'!J$5</f>
        <v>360000</v>
      </c>
      <c r="K4" s="31">
        <f>'11.Charges'!$D4*'11.Charges'!$E4*'9.Var.Vente1'!K$5</f>
        <v>360000</v>
      </c>
      <c r="L4" s="31">
        <f>'11.Charges'!$D4*'11.Charges'!$E4*'9.Var.Vente1'!L$5</f>
        <v>360000</v>
      </c>
      <c r="M4" s="31">
        <f>'11.Charges'!$D4*'11.Charges'!$E4*'9.Var.Vente1'!M$5</f>
        <v>360000</v>
      </c>
      <c r="N4" s="31">
        <f>'11.Charges'!$D4*'11.Charges'!$E4*'9.Var.Vente1'!N$5</f>
        <v>360000</v>
      </c>
      <c r="O4" s="31">
        <f>'11.Charges'!$D4*'11.Charges'!$E4*'9.Var.Vente1'!O$5</f>
        <v>360000</v>
      </c>
      <c r="P4" s="31">
        <f>'11.Charges'!$D4*'11.Charges'!$E4*'9.Var.Vente1'!P$5</f>
        <v>4320000</v>
      </c>
      <c r="Q4" s="31">
        <f>'11.Charges'!$D4*'11.Charges'!$E4*'9.Var.Vente1'!Q$5</f>
        <v>4752000</v>
      </c>
      <c r="R4" s="31">
        <f>'11.Charges'!$D4*'11.Charges'!$E4*'9.Var.Vente1'!R$5</f>
        <v>5227200</v>
      </c>
    </row>
    <row r="5" spans="1:19">
      <c r="A5" s="35" t="str">
        <f>'11.Charges'!A5</f>
        <v>Achat de marchandises</v>
      </c>
      <c r="B5" s="31" t="str">
        <f>'11.Charges'!B5</f>
        <v>Achat de Tenue de luxe Femme</v>
      </c>
      <c r="C5" s="31" t="str">
        <f>'11.Charges'!C5</f>
        <v>AMA1</v>
      </c>
      <c r="D5" s="108">
        <f>'11.Charges'!$D5*'11.Charges'!$E5*'9.Var.Vente1'!D$5</f>
        <v>720000</v>
      </c>
      <c r="E5" s="31">
        <f>'11.Charges'!$D5*'11.Charges'!$E5*'9.Var.Vente1'!E$5</f>
        <v>720000</v>
      </c>
      <c r="F5" s="31">
        <f>'11.Charges'!$D5*'11.Charges'!$E5*'9.Var.Vente1'!F$5</f>
        <v>720000</v>
      </c>
      <c r="G5" s="31">
        <f>'11.Charges'!$D5*'11.Charges'!$E5*'9.Var.Vente1'!G$5</f>
        <v>720000</v>
      </c>
      <c r="H5" s="31">
        <f>'11.Charges'!$D5*'11.Charges'!$E5*'9.Var.Vente1'!H$5</f>
        <v>720000</v>
      </c>
      <c r="I5" s="31">
        <f>'11.Charges'!$D5*'11.Charges'!$E5*'9.Var.Vente1'!I$5</f>
        <v>720000</v>
      </c>
      <c r="J5" s="31">
        <f>'11.Charges'!$D5*'11.Charges'!$E5*'9.Var.Vente1'!J$5</f>
        <v>720000</v>
      </c>
      <c r="K5" s="31">
        <f>'11.Charges'!$D5*'11.Charges'!$E5*'9.Var.Vente1'!K$5</f>
        <v>720000</v>
      </c>
      <c r="L5" s="31">
        <f>'11.Charges'!$D5*'11.Charges'!$E5*'9.Var.Vente1'!L$5</f>
        <v>720000</v>
      </c>
      <c r="M5" s="31">
        <f>'11.Charges'!$D5*'11.Charges'!$E5*'9.Var.Vente1'!M$5</f>
        <v>720000</v>
      </c>
      <c r="N5" s="31">
        <f>'11.Charges'!$D5*'11.Charges'!$E5*'9.Var.Vente1'!N$5</f>
        <v>720000</v>
      </c>
      <c r="O5" s="31">
        <f>'11.Charges'!$D5*'11.Charges'!$E5*'9.Var.Vente1'!O$5</f>
        <v>720000</v>
      </c>
      <c r="P5" s="31">
        <f>'11.Charges'!$D5*'11.Charges'!$E5*'9.Var.Vente1'!P$5</f>
        <v>8640000</v>
      </c>
      <c r="Q5" s="31">
        <f>'11.Charges'!$D5*'11.Charges'!$E5*'9.Var.Vente1'!Q$5</f>
        <v>9504000</v>
      </c>
      <c r="R5" s="31">
        <f>'11.Charges'!$D5*'11.Charges'!$E5*'9.Var.Vente1'!R$5</f>
        <v>10454400</v>
      </c>
    </row>
    <row r="6" spans="1:19">
      <c r="A6" s="35" t="str">
        <f>'11.Charges'!A6</f>
        <v>Achat de marchandises</v>
      </c>
      <c r="B6" s="31" t="str">
        <f>'11.Charges'!B6</f>
        <v>Achat de Prêt-à-porter homme</v>
      </c>
      <c r="C6" s="31" t="str">
        <f>'11.Charges'!C6</f>
        <v>AMA1</v>
      </c>
      <c r="D6" s="108">
        <f>'11.Charges'!$D6*'11.Charges'!$E6*'9.Var.Vente1'!D$5</f>
        <v>180000</v>
      </c>
      <c r="E6" s="31">
        <f>'11.Charges'!$D6*'11.Charges'!$E6*'9.Var.Vente1'!E$5</f>
        <v>180000</v>
      </c>
      <c r="F6" s="31">
        <f>'11.Charges'!$D6*'11.Charges'!$E6*'9.Var.Vente1'!F$5</f>
        <v>180000</v>
      </c>
      <c r="G6" s="31">
        <f>'11.Charges'!$D6*'11.Charges'!$E6*'9.Var.Vente1'!G$5</f>
        <v>180000</v>
      </c>
      <c r="H6" s="31">
        <f>'11.Charges'!$D6*'11.Charges'!$E6*'9.Var.Vente1'!H$5</f>
        <v>180000</v>
      </c>
      <c r="I6" s="31">
        <f>'11.Charges'!$D6*'11.Charges'!$E6*'9.Var.Vente1'!I$5</f>
        <v>180000</v>
      </c>
      <c r="J6" s="31">
        <f>'11.Charges'!$D6*'11.Charges'!$E6*'9.Var.Vente1'!J$5</f>
        <v>180000</v>
      </c>
      <c r="K6" s="31">
        <f>'11.Charges'!$D6*'11.Charges'!$E6*'9.Var.Vente1'!K$5</f>
        <v>180000</v>
      </c>
      <c r="L6" s="31">
        <f>'11.Charges'!$D6*'11.Charges'!$E6*'9.Var.Vente1'!L$5</f>
        <v>180000</v>
      </c>
      <c r="M6" s="31">
        <f>'11.Charges'!$D6*'11.Charges'!$E6*'9.Var.Vente1'!M$5</f>
        <v>180000</v>
      </c>
      <c r="N6" s="31">
        <f>'11.Charges'!$D6*'11.Charges'!$E6*'9.Var.Vente1'!N$5</f>
        <v>180000</v>
      </c>
      <c r="O6" s="31">
        <f>'11.Charges'!$D6*'11.Charges'!$E6*'9.Var.Vente1'!O$5</f>
        <v>180000</v>
      </c>
      <c r="P6" s="31">
        <f>'11.Charges'!$D6*'11.Charges'!$E6*'9.Var.Vente1'!P$5</f>
        <v>2160000</v>
      </c>
      <c r="Q6" s="31">
        <f>'11.Charges'!$D6*'11.Charges'!$E6*'9.Var.Vente1'!Q$5</f>
        <v>2376000</v>
      </c>
      <c r="R6" s="31">
        <f>'11.Charges'!$D6*'11.Charges'!$E6*'9.Var.Vente1'!R$5</f>
        <v>2613600</v>
      </c>
    </row>
    <row r="7" spans="1:19">
      <c r="A7" s="35" t="str">
        <f>'11.Charges'!A7</f>
        <v>Achat de marchandises</v>
      </c>
      <c r="B7" s="31" t="str">
        <f>'11.Charges'!B7</f>
        <v>Achat de Prêt-à-porter femme</v>
      </c>
      <c r="C7" s="31" t="str">
        <f>'11.Charges'!C7</f>
        <v>AMA1</v>
      </c>
      <c r="D7" s="108">
        <f>'11.Charges'!$D7*'11.Charges'!$E7*'9.Var.Vente1'!D$5</f>
        <v>90000</v>
      </c>
      <c r="E7" s="31">
        <f>'11.Charges'!$D7*'11.Charges'!$E7*'9.Var.Vente1'!E$5</f>
        <v>90000</v>
      </c>
      <c r="F7" s="31">
        <f>'11.Charges'!$D7*'11.Charges'!$E7*'9.Var.Vente1'!F$5</f>
        <v>90000</v>
      </c>
      <c r="G7" s="31">
        <f>'11.Charges'!$D7*'11.Charges'!$E7*'9.Var.Vente1'!G$5</f>
        <v>90000</v>
      </c>
      <c r="H7" s="31">
        <f>'11.Charges'!$D7*'11.Charges'!$E7*'9.Var.Vente1'!H$5</f>
        <v>90000</v>
      </c>
      <c r="I7" s="31">
        <f>'11.Charges'!$D7*'11.Charges'!$E7*'9.Var.Vente1'!I$5</f>
        <v>90000</v>
      </c>
      <c r="J7" s="31">
        <f>'11.Charges'!$D7*'11.Charges'!$E7*'9.Var.Vente1'!J$5</f>
        <v>90000</v>
      </c>
      <c r="K7" s="31">
        <f>'11.Charges'!$D7*'11.Charges'!$E7*'9.Var.Vente1'!K$5</f>
        <v>90000</v>
      </c>
      <c r="L7" s="31">
        <f>'11.Charges'!$D7*'11.Charges'!$E7*'9.Var.Vente1'!L$5</f>
        <v>90000</v>
      </c>
      <c r="M7" s="31">
        <f>'11.Charges'!$D7*'11.Charges'!$E7*'9.Var.Vente1'!M$5</f>
        <v>90000</v>
      </c>
      <c r="N7" s="31">
        <f>'11.Charges'!$D7*'11.Charges'!$E7*'9.Var.Vente1'!N$5</f>
        <v>90000</v>
      </c>
      <c r="O7" s="31">
        <f>'11.Charges'!$D7*'11.Charges'!$E7*'9.Var.Vente1'!O$5</f>
        <v>90000</v>
      </c>
      <c r="P7" s="31">
        <f>'11.Charges'!$D7*'11.Charges'!$E7*'9.Var.Vente1'!P$5</f>
        <v>1080000</v>
      </c>
      <c r="Q7" s="31">
        <f>'11.Charges'!$D7*'11.Charges'!$E7*'9.Var.Vente1'!Q$5</f>
        <v>1188000</v>
      </c>
      <c r="R7" s="31">
        <f>'11.Charges'!$D7*'11.Charges'!$E7*'9.Var.Vente1'!R$5</f>
        <v>1306800</v>
      </c>
    </row>
    <row r="8" spans="1:19">
      <c r="A8" s="109" t="str">
        <f>'11.Charges'!A8</f>
        <v>Achat de MP</v>
      </c>
      <c r="B8" s="31">
        <f>'11.Charges'!B8</f>
        <v/>
      </c>
      <c r="C8" s="31" t="str">
        <f>'11.Charges'!C8</f>
        <v>AMA2</v>
      </c>
      <c r="D8" s="109">
        <f>'11.Charges'!$E$8*'11.Charges'!$D$8*'9.Var.Vente1'!D9</f>
        <v>0</v>
      </c>
      <c r="E8" s="31">
        <f>'11.Charges'!$E$8*'11.Charges'!$D$8*'9.Var.Vente1'!E9</f>
        <v>0</v>
      </c>
      <c r="F8" s="31">
        <f>'11.Charges'!$E$8*'11.Charges'!$D$8*'9.Var.Vente1'!F9</f>
        <v>0</v>
      </c>
      <c r="G8" s="31">
        <f>'11.Charges'!$E$8*'11.Charges'!$D$8*'9.Var.Vente1'!G9</f>
        <v>0</v>
      </c>
      <c r="H8" s="31">
        <f>'11.Charges'!$E$8*'11.Charges'!$D$8*'9.Var.Vente1'!H9</f>
        <v>0</v>
      </c>
      <c r="I8" s="31">
        <f>'11.Charges'!$E$8*'11.Charges'!$D$8*'9.Var.Vente1'!I9</f>
        <v>0</v>
      </c>
      <c r="J8" s="31">
        <f>'11.Charges'!$E$8*'11.Charges'!$D$8*'9.Var.Vente1'!J9</f>
        <v>0</v>
      </c>
      <c r="K8" s="31">
        <f>'11.Charges'!$E$8*'11.Charges'!$D$8*'9.Var.Vente1'!K9</f>
        <v>0</v>
      </c>
      <c r="L8" s="31">
        <f>'11.Charges'!$E$8*'11.Charges'!$D$8*'9.Var.Vente1'!L9</f>
        <v>0</v>
      </c>
      <c r="M8" s="31">
        <f>'11.Charges'!$E$8*'11.Charges'!$D$8*'9.Var.Vente1'!M9</f>
        <v>0</v>
      </c>
      <c r="N8" s="31">
        <f>'11.Charges'!$E$8*'11.Charges'!$D$8*'9.Var.Vente1'!N9</f>
        <v>0</v>
      </c>
      <c r="O8" s="31">
        <f>'11.Charges'!$E$8*'11.Charges'!$D$8*'9.Var.Vente1'!O9</f>
        <v>0</v>
      </c>
      <c r="P8" s="31">
        <f>'11.Charges'!$D8*'11.Charges'!$E8*'9.Var.Vente1'!P$5</f>
        <v>0</v>
      </c>
      <c r="Q8" s="31">
        <f>'11.Charges'!$D8*'11.Charges'!$E8*'9.Var.Vente1'!Q$5</f>
        <v>0</v>
      </c>
      <c r="R8" s="31">
        <f>'11.Charges'!$D8*'11.Charges'!$E8*'9.Var.Vente1'!R$5</f>
        <v>0</v>
      </c>
    </row>
    <row r="9" spans="1:19">
      <c r="A9" s="35" t="str">
        <f>'11.Charges'!A9</f>
        <v>Main d'œuvre directe vente</v>
      </c>
      <c r="B9" s="31">
        <f>'11.Charges'!B9</f>
        <v/>
      </c>
      <c r="C9" s="31" t="str">
        <f>'11.Charges'!C9</f>
        <v>MOD1</v>
      </c>
      <c r="D9" s="108">
        <f>'11.Charges'!$E$9*'11.Charges'!$D$9*'9.Var.Vente1'!D5</f>
        <v>0</v>
      </c>
      <c r="E9" s="31">
        <f>'11.Charges'!$E$9*'11.Charges'!$D$9*'9.Var.Vente1'!E5</f>
        <v>0</v>
      </c>
      <c r="F9" s="31">
        <f>'11.Charges'!$E$9*'11.Charges'!$D$9*'9.Var.Vente1'!F5</f>
        <v>0</v>
      </c>
      <c r="G9" s="31">
        <f>'11.Charges'!$E$9*'11.Charges'!$D$9*'9.Var.Vente1'!G5</f>
        <v>0</v>
      </c>
      <c r="H9" s="31">
        <f>'11.Charges'!$E$9*'11.Charges'!$D$9*'9.Var.Vente1'!H5</f>
        <v>0</v>
      </c>
      <c r="I9" s="31">
        <f>'11.Charges'!$E$9*'11.Charges'!$D$9*'9.Var.Vente1'!I5</f>
        <v>0</v>
      </c>
      <c r="J9" s="31">
        <f>'11.Charges'!$E$9*'11.Charges'!$D$9*'9.Var.Vente1'!J5</f>
        <v>0</v>
      </c>
      <c r="K9" s="31">
        <f>'11.Charges'!$E$9*'11.Charges'!$D$9*'9.Var.Vente1'!K5</f>
        <v>0</v>
      </c>
      <c r="L9" s="31">
        <f>'11.Charges'!$E$9*'11.Charges'!$D$9*'9.Var.Vente1'!L5</f>
        <v>0</v>
      </c>
      <c r="M9" s="31">
        <f>'11.Charges'!$E$9*'11.Charges'!$D$9*'9.Var.Vente1'!M5</f>
        <v>0</v>
      </c>
      <c r="N9" s="31">
        <f>'11.Charges'!$E$9*'11.Charges'!$D$9*'9.Var.Vente1'!N5</f>
        <v>0</v>
      </c>
      <c r="O9" s="31">
        <f>'11.Charges'!$E$9*'11.Charges'!$D$9*'9.Var.Vente1'!O5</f>
        <v>0</v>
      </c>
      <c r="P9" s="31">
        <f>'11.Charges'!$D9*'11.Charges'!$E9*'9.Var.Vente1'!P$5</f>
        <v>0</v>
      </c>
      <c r="Q9" s="31">
        <f>'11.Charges'!$D9*'11.Charges'!$E9*'9.Var.Vente1'!Q$5</f>
        <v>0</v>
      </c>
      <c r="R9" s="31">
        <f>'11.Charges'!$D9*'11.Charges'!$E9*'9.Var.Vente1'!R$5</f>
        <v>0</v>
      </c>
    </row>
    <row r="10" spans="1:19">
      <c r="A10" s="109" t="str">
        <f>'11.Charges'!A10</f>
        <v>Main d'œuvre directe transformation</v>
      </c>
      <c r="B10" s="31">
        <f>'11.Charges'!B10</f>
        <v/>
      </c>
      <c r="C10" s="31" t="str">
        <f>'11.Charges'!C10</f>
        <v>MOD2</v>
      </c>
      <c r="D10" s="109">
        <f>'11.Charges'!$E$10*'11.Charges'!$D$10*'9.Var.Vente1'!D9</f>
        <v>0</v>
      </c>
      <c r="E10" s="31">
        <f>'11.Charges'!$E$10*'11.Charges'!$D$10*'9.Var.Vente1'!E9</f>
        <v>0</v>
      </c>
      <c r="F10" s="31">
        <f>'11.Charges'!$E$10*'11.Charges'!$D$10*'9.Var.Vente1'!F9</f>
        <v>0</v>
      </c>
      <c r="G10" s="31">
        <f>'11.Charges'!$E$10*'11.Charges'!$D$10*'9.Var.Vente1'!G9</f>
        <v>0</v>
      </c>
      <c r="H10" s="31">
        <f>'11.Charges'!$E$10*'11.Charges'!$D$10*'9.Var.Vente1'!H9</f>
        <v>0</v>
      </c>
      <c r="I10" s="31">
        <f>'11.Charges'!$E$10*'11.Charges'!$D$10*'9.Var.Vente1'!I9</f>
        <v>0</v>
      </c>
      <c r="J10" s="31">
        <f>'11.Charges'!$E$10*'11.Charges'!$D$10*'9.Var.Vente1'!J9</f>
        <v>0</v>
      </c>
      <c r="K10" s="31">
        <f>'11.Charges'!$E$10*'11.Charges'!$D$10*'9.Var.Vente1'!K9</f>
        <v>0</v>
      </c>
      <c r="L10" s="31">
        <f>'11.Charges'!$E$10*'11.Charges'!$D$10*'9.Var.Vente1'!L9</f>
        <v>0</v>
      </c>
      <c r="M10" s="31">
        <f>'11.Charges'!$E$10*'11.Charges'!$D$10*'9.Var.Vente1'!M9</f>
        <v>0</v>
      </c>
      <c r="N10" s="31">
        <f>'11.Charges'!$E$10*'11.Charges'!$D$10*'9.Var.Vente1'!N9</f>
        <v>0</v>
      </c>
      <c r="O10" s="31">
        <f>'11.Charges'!$E$10*'11.Charges'!$D$10*'9.Var.Vente1'!O9</f>
        <v>0</v>
      </c>
      <c r="P10" s="31">
        <f>'11.Charges'!$D10*'11.Charges'!$E10*'9.Var.Vente1'!P$5</f>
        <v>0</v>
      </c>
      <c r="Q10" s="31">
        <f>'11.Charges'!$D10*'11.Charges'!$E10*'9.Var.Vente1'!Q$5</f>
        <v>0</v>
      </c>
      <c r="R10" s="31">
        <f>'11.Charges'!$D10*'11.Charges'!$E10*'9.Var.Vente1'!R$5</f>
        <v>0</v>
      </c>
    </row>
    <row r="11" spans="1:19">
      <c r="A11" s="113" t="str">
        <f>'11.Charges'!A11</f>
        <v>Main d'œuvre directe vente de services</v>
      </c>
      <c r="B11" s="31">
        <f>'11.Charges'!B11</f>
        <v/>
      </c>
      <c r="C11" s="31" t="str">
        <f>'11.Charges'!C11</f>
        <v>MOD3</v>
      </c>
      <c r="D11" s="110">
        <f>'11.Charges'!$D$11*'11.Charges'!$E$11*'9.Var.Vente1'!D10</f>
        <v>0</v>
      </c>
      <c r="E11" s="31">
        <f>'11.Charges'!$D$11*'11.Charges'!$E$11*'9.Var.Vente1'!E10</f>
        <v>0</v>
      </c>
      <c r="F11" s="31">
        <f>'11.Charges'!$D$11*'11.Charges'!$E$11*'9.Var.Vente1'!F10</f>
        <v>0</v>
      </c>
      <c r="G11" s="31">
        <f>'11.Charges'!$D$11*'11.Charges'!$E$11*'9.Var.Vente1'!G10</f>
        <v>0</v>
      </c>
      <c r="H11" s="31">
        <f>'11.Charges'!$D$11*'11.Charges'!$E$11*'9.Var.Vente1'!H10</f>
        <v>0</v>
      </c>
      <c r="I11" s="31">
        <f>'11.Charges'!$D$11*'11.Charges'!$E$11*'9.Var.Vente1'!I10</f>
        <v>0</v>
      </c>
      <c r="J11" s="31">
        <f>'11.Charges'!$D$11*'11.Charges'!$E$11*'9.Var.Vente1'!J10</f>
        <v>0</v>
      </c>
      <c r="K11" s="31">
        <f>'11.Charges'!$D$11*'11.Charges'!$E$11*'9.Var.Vente1'!K10</f>
        <v>0</v>
      </c>
      <c r="L11" s="31">
        <f>'11.Charges'!$D$11*'11.Charges'!$E$11*'9.Var.Vente1'!L10</f>
        <v>0</v>
      </c>
      <c r="M11" s="31">
        <f>'11.Charges'!$D$11*'11.Charges'!$E$11*'9.Var.Vente1'!M10</f>
        <v>0</v>
      </c>
      <c r="N11" s="31">
        <f>'11.Charges'!$D$11*'11.Charges'!$E$11*'9.Var.Vente1'!N10</f>
        <v>0</v>
      </c>
      <c r="O11" s="31">
        <f>'11.Charges'!$D$11*'11.Charges'!$E$11*'9.Var.Vente1'!O10</f>
        <v>0</v>
      </c>
      <c r="P11" s="31">
        <f>'11.Charges'!$D11*'11.Charges'!$E11*'9.Var.Vente1'!P$5</f>
        <v>0</v>
      </c>
      <c r="Q11" s="31">
        <f>'11.Charges'!$D11*'11.Charges'!$E11*'9.Var.Vente1'!Q$5</f>
        <v>0</v>
      </c>
      <c r="R11" s="31">
        <f>'11.Charges'!$D11*'11.Charges'!$E11*'9.Var.Vente1'!R$5</f>
        <v>0</v>
      </c>
    </row>
    <row r="12" spans="1:19">
      <c r="A12" s="109" t="str">
        <f>'11.Charges'!A12</f>
        <v>Frais indirects de transformation </v>
      </c>
      <c r="B12" s="31">
        <f>'11.Charges'!B12</f>
        <v/>
      </c>
      <c r="C12" s="31" t="str">
        <f>'11.Charges'!C12</f>
        <v>FIF1</v>
      </c>
      <c r="D12" s="109">
        <f>'11.Charges'!$D$12*'11.Charges'!$E$12*'9.Var.Vente1'!D9</f>
        <v>0</v>
      </c>
      <c r="E12" s="31">
        <f>'11.Charges'!$D$12*'11.Charges'!$E$12*'9.Var.Vente1'!E9</f>
        <v>0</v>
      </c>
      <c r="F12" s="31">
        <f>'11.Charges'!$D$12*'11.Charges'!$E$12*'9.Var.Vente1'!F9</f>
        <v>0</v>
      </c>
      <c r="G12" s="31">
        <f>'11.Charges'!$D$12*'11.Charges'!$E$12*'9.Var.Vente1'!G9</f>
        <v>0</v>
      </c>
      <c r="H12" s="31">
        <f>'11.Charges'!$D$12*'11.Charges'!$E$12*'9.Var.Vente1'!H9</f>
        <v>0</v>
      </c>
      <c r="I12" s="31">
        <f>'11.Charges'!$D$12*'11.Charges'!$E$12*'9.Var.Vente1'!I9</f>
        <v>0</v>
      </c>
      <c r="J12" s="31">
        <f>'11.Charges'!$D$12*'11.Charges'!$E$12*'9.Var.Vente1'!J9</f>
        <v>0</v>
      </c>
      <c r="K12" s="31">
        <f>'11.Charges'!$D$12*'11.Charges'!$E$12*'9.Var.Vente1'!K9</f>
        <v>0</v>
      </c>
      <c r="L12" s="31">
        <f>'11.Charges'!$D$12*'11.Charges'!$E$12*'9.Var.Vente1'!L9</f>
        <v>0</v>
      </c>
      <c r="M12" s="31">
        <f>'11.Charges'!$D$12*'11.Charges'!$E$12*'9.Var.Vente1'!M9</f>
        <v>0</v>
      </c>
      <c r="N12" s="31">
        <f>'11.Charges'!$D$12*'11.Charges'!$E$12*'9.Var.Vente1'!N9</f>
        <v>0</v>
      </c>
      <c r="O12" s="31">
        <f>'11.Charges'!$D$12*'11.Charges'!$E$12*'9.Var.Vente1'!O9</f>
        <v>0</v>
      </c>
      <c r="P12" s="31">
        <f>'11.Charges'!$D12*'11.Charges'!$E12*'9.Var.Vente1'!P$5</f>
        <v>0</v>
      </c>
      <c r="Q12" s="31">
        <f>'11.Charges'!$D12*'11.Charges'!$E12*'9.Var.Vente1'!Q$5</f>
        <v>0</v>
      </c>
      <c r="R12" s="31">
        <f>'11.Charges'!$D12*'11.Charges'!$E12*'9.Var.Vente1'!R$5</f>
        <v>0</v>
      </c>
    </row>
    <row r="13" spans="1:19">
      <c r="A13" s="35" t="str">
        <f>'11.Charges'!A13</f>
        <v>Frais indirects de vente</v>
      </c>
      <c r="B13" s="31" t="str">
        <f>'11.Charges'!B13</f>
        <v>Logistique Tenue de luxe Homme</v>
      </c>
      <c r="C13" s="31" t="str">
        <f>'11.Charges'!C13</f>
        <v>FIF2</v>
      </c>
      <c r="D13" s="108">
        <f>'11.Charges'!$D$13*'11.Charges'!$E$13*'9.Var.Vente1'!D5</f>
        <v>12000</v>
      </c>
      <c r="E13" s="31">
        <f>'11.Charges'!$D$13*'11.Charges'!$E$13*'9.Var.Vente1'!E5</f>
        <v>12000</v>
      </c>
      <c r="F13" s="31">
        <f>'11.Charges'!$D$13*'11.Charges'!$E$13*'9.Var.Vente1'!F5</f>
        <v>12000</v>
      </c>
      <c r="G13" s="31">
        <f>'11.Charges'!$D$13*'11.Charges'!$E$13*'9.Var.Vente1'!G5</f>
        <v>12000</v>
      </c>
      <c r="H13" s="31">
        <f>'11.Charges'!$D$13*'11.Charges'!$E$13*'9.Var.Vente1'!H5</f>
        <v>12000</v>
      </c>
      <c r="I13" s="31">
        <f>'11.Charges'!$D$13*'11.Charges'!$E$13*'9.Var.Vente1'!I5</f>
        <v>12000</v>
      </c>
      <c r="J13" s="31">
        <f>'11.Charges'!$D$13*'11.Charges'!$E$13*'9.Var.Vente1'!J5</f>
        <v>12000</v>
      </c>
      <c r="K13" s="31">
        <f>'11.Charges'!$D$13*'11.Charges'!$E$13*'9.Var.Vente1'!K5</f>
        <v>12000</v>
      </c>
      <c r="L13" s="31">
        <f>'11.Charges'!$D$13*'11.Charges'!$E$13*'9.Var.Vente1'!L5</f>
        <v>12000</v>
      </c>
      <c r="M13" s="31">
        <f>'11.Charges'!$D$13*'11.Charges'!$E$13*'9.Var.Vente1'!M5</f>
        <v>12000</v>
      </c>
      <c r="N13" s="31">
        <f>'11.Charges'!$D$13*'11.Charges'!$E$13*'9.Var.Vente1'!N5</f>
        <v>12000</v>
      </c>
      <c r="O13" s="31">
        <f>'11.Charges'!$D$13*'11.Charges'!$E$13*'9.Var.Vente1'!O5</f>
        <v>12000</v>
      </c>
      <c r="P13" s="31">
        <f>'11.Charges'!$D13*'11.Charges'!$E13*'9.Var.Vente1'!P$5</f>
        <v>144000</v>
      </c>
      <c r="Q13" s="31">
        <f>'11.Charges'!$D13*'11.Charges'!$E13*'9.Var.Vente1'!Q$5</f>
        <v>158400</v>
      </c>
      <c r="R13" s="31">
        <f>'11.Charges'!$D13*'11.Charges'!$E13*'9.Var.Vente1'!R$5</f>
        <v>174240</v>
      </c>
    </row>
    <row r="14" spans="1:19">
      <c r="A14" s="35" t="str">
        <f>'11.Charges'!A14</f>
        <v>Frais indirects de vente</v>
      </c>
      <c r="B14" s="31" t="str">
        <f>'11.Charges'!B14</f>
        <v>Logistique Tenue de luxe Femme</v>
      </c>
      <c r="C14" s="31" t="str">
        <f>'11.Charges'!C14</f>
        <v>FIF2</v>
      </c>
      <c r="D14" s="108">
        <f>'11.Charges'!$D$13*'11.Charges'!$E$13*'9.Var.Vente1'!D6</f>
        <v>22800</v>
      </c>
      <c r="E14" s="31">
        <f>'11.Charges'!$D$13*'11.Charges'!$E$13*'9.Var.Vente1'!E6</f>
        <v>22800</v>
      </c>
      <c r="F14" s="31">
        <f>'11.Charges'!$D$13*'11.Charges'!$E$13*'9.Var.Vente1'!F6</f>
        <v>22800</v>
      </c>
      <c r="G14" s="31">
        <f>'11.Charges'!$D$13*'11.Charges'!$E$13*'9.Var.Vente1'!G6</f>
        <v>22800</v>
      </c>
      <c r="H14" s="31">
        <f>'11.Charges'!$D$13*'11.Charges'!$E$13*'9.Var.Vente1'!H6</f>
        <v>22800</v>
      </c>
      <c r="I14" s="31">
        <f>'11.Charges'!$D$13*'11.Charges'!$E$13*'9.Var.Vente1'!I6</f>
        <v>22800</v>
      </c>
      <c r="J14" s="31">
        <f>'11.Charges'!$D$13*'11.Charges'!$E$13*'9.Var.Vente1'!J6</f>
        <v>22800</v>
      </c>
      <c r="K14" s="31">
        <f>'11.Charges'!$D$13*'11.Charges'!$E$13*'9.Var.Vente1'!K6</f>
        <v>22800</v>
      </c>
      <c r="L14" s="31">
        <f>'11.Charges'!$D$13*'11.Charges'!$E$13*'9.Var.Vente1'!L6</f>
        <v>22800</v>
      </c>
      <c r="M14" s="31">
        <f>'11.Charges'!$D$13*'11.Charges'!$E$13*'9.Var.Vente1'!M6</f>
        <v>22800</v>
      </c>
      <c r="N14" s="31">
        <f>'11.Charges'!$D$13*'11.Charges'!$E$13*'9.Var.Vente1'!N6</f>
        <v>22800</v>
      </c>
      <c r="O14" s="31">
        <f>'11.Charges'!$D$13*'11.Charges'!$E$13*'9.Var.Vente1'!O6</f>
        <v>22800</v>
      </c>
      <c r="P14" s="31">
        <f>'11.Charges'!$D14*'11.Charges'!$E14*'9.Var.Vente1'!P$5</f>
        <v>288000</v>
      </c>
      <c r="Q14" s="31">
        <f>'11.Charges'!$D14*'11.Charges'!$E14*'9.Var.Vente1'!Q$5</f>
        <v>316800</v>
      </c>
      <c r="R14" s="31">
        <f>'11.Charges'!$D14*'11.Charges'!$E14*'9.Var.Vente1'!R$5</f>
        <v>348480</v>
      </c>
    </row>
    <row r="15" spans="1:19">
      <c r="A15" s="35" t="str">
        <f>'11.Charges'!A15</f>
        <v>Frais indirects de vente</v>
      </c>
      <c r="B15" s="31" t="str">
        <f>'11.Charges'!B15</f>
        <v>Logistique Prêt-à-porter homme</v>
      </c>
      <c r="C15" s="31" t="str">
        <f>'11.Charges'!C15</f>
        <v>FIF2</v>
      </c>
      <c r="D15" s="108">
        <f>'11.Charges'!$D$13*'11.Charges'!$E$13*'9.Var.Vente1'!D7</f>
        <v>48000</v>
      </c>
      <c r="E15" s="31">
        <f>'11.Charges'!$D$13*'11.Charges'!$E$13*'9.Var.Vente1'!E7</f>
        <v>48000</v>
      </c>
      <c r="F15" s="31">
        <f>'11.Charges'!$D$13*'11.Charges'!$E$13*'9.Var.Vente1'!F7</f>
        <v>48000</v>
      </c>
      <c r="G15" s="31">
        <f>'11.Charges'!$D$13*'11.Charges'!$E$13*'9.Var.Vente1'!G7</f>
        <v>48000</v>
      </c>
      <c r="H15" s="31">
        <f>'11.Charges'!$D$13*'11.Charges'!$E$13*'9.Var.Vente1'!H7</f>
        <v>48000</v>
      </c>
      <c r="I15" s="31">
        <f>'11.Charges'!$D$13*'11.Charges'!$E$13*'9.Var.Vente1'!I7</f>
        <v>48000</v>
      </c>
      <c r="J15" s="31">
        <f>'11.Charges'!$D$13*'11.Charges'!$E$13*'9.Var.Vente1'!J7</f>
        <v>48000</v>
      </c>
      <c r="K15" s="31">
        <f>'11.Charges'!$D$13*'11.Charges'!$E$13*'9.Var.Vente1'!K7</f>
        <v>48000</v>
      </c>
      <c r="L15" s="31">
        <f>'11.Charges'!$D$13*'11.Charges'!$E$13*'9.Var.Vente1'!L7</f>
        <v>48000</v>
      </c>
      <c r="M15" s="31">
        <f>'11.Charges'!$D$13*'11.Charges'!$E$13*'9.Var.Vente1'!M7</f>
        <v>48000</v>
      </c>
      <c r="N15" s="31">
        <f>'11.Charges'!$D$13*'11.Charges'!$E$13*'9.Var.Vente1'!N7</f>
        <v>48000</v>
      </c>
      <c r="O15" s="31">
        <f>'11.Charges'!$D$13*'11.Charges'!$E$13*'9.Var.Vente1'!O7</f>
        <v>48000</v>
      </c>
      <c r="P15" s="31">
        <f>'11.Charges'!$D15*'11.Charges'!$E15*'9.Var.Vente1'!P$5</f>
        <v>72000</v>
      </c>
      <c r="Q15" s="31">
        <f>'11.Charges'!$D15*'11.Charges'!$E15*'9.Var.Vente1'!Q$5</f>
        <v>79200</v>
      </c>
      <c r="R15" s="31">
        <f>'11.Charges'!$D15*'11.Charges'!$E15*'9.Var.Vente1'!R$5</f>
        <v>87120</v>
      </c>
    </row>
    <row r="16" spans="1:19">
      <c r="A16" s="35" t="str">
        <f>'11.Charges'!A16</f>
        <v>Frais indirects de vente</v>
      </c>
      <c r="B16" s="31" t="str">
        <f>'11.Charges'!B16</f>
        <v>Logistique Prêt-à-porter femme</v>
      </c>
      <c r="C16" s="31" t="str">
        <f>'11.Charges'!C16</f>
        <v>FIF2</v>
      </c>
      <c r="D16" s="108">
        <f>'11.Charges'!$D$13*'11.Charges'!$E$13*'9.Var.Vente1'!D8</f>
        <v>91200</v>
      </c>
      <c r="E16" s="31">
        <f>'11.Charges'!$D$13*'11.Charges'!$E$13*'9.Var.Vente1'!E8</f>
        <v>91200</v>
      </c>
      <c r="F16" s="31">
        <f>'11.Charges'!$D$13*'11.Charges'!$E$13*'9.Var.Vente1'!F8</f>
        <v>91200</v>
      </c>
      <c r="G16" s="31">
        <f>'11.Charges'!$D$13*'11.Charges'!$E$13*'9.Var.Vente1'!G8</f>
        <v>91200</v>
      </c>
      <c r="H16" s="31">
        <f>'11.Charges'!$D$13*'11.Charges'!$E$13*'9.Var.Vente1'!H8</f>
        <v>91200</v>
      </c>
      <c r="I16" s="31">
        <f>'11.Charges'!$D$13*'11.Charges'!$E$13*'9.Var.Vente1'!I8</f>
        <v>91200</v>
      </c>
      <c r="J16" s="31">
        <f>'11.Charges'!$D$13*'11.Charges'!$E$13*'9.Var.Vente1'!J8</f>
        <v>91200</v>
      </c>
      <c r="K16" s="31">
        <f>'11.Charges'!$D$13*'11.Charges'!$E$13*'9.Var.Vente1'!K8</f>
        <v>91200</v>
      </c>
      <c r="L16" s="31">
        <f>'11.Charges'!$D$13*'11.Charges'!$E$13*'9.Var.Vente1'!L8</f>
        <v>91200</v>
      </c>
      <c r="M16" s="31">
        <f>'11.Charges'!$D$13*'11.Charges'!$E$13*'9.Var.Vente1'!M8</f>
        <v>91200</v>
      </c>
      <c r="N16" s="31">
        <f>'11.Charges'!$D$13*'11.Charges'!$E$13*'9.Var.Vente1'!N8</f>
        <v>91200</v>
      </c>
      <c r="O16" s="31">
        <f>'11.Charges'!$D$13*'11.Charges'!$E$13*'9.Var.Vente1'!O8</f>
        <v>91200</v>
      </c>
      <c r="P16" s="31">
        <f>'11.Charges'!$D16*'11.Charges'!$E16*'9.Var.Vente1'!P$5</f>
        <v>36000</v>
      </c>
      <c r="Q16" s="31">
        <f>'11.Charges'!$D16*'11.Charges'!$E16*'9.Var.Vente1'!Q$5</f>
        <v>39600</v>
      </c>
      <c r="R16" s="31">
        <f>'11.Charges'!$D16*'11.Charges'!$E16*'9.Var.Vente1'!R$5</f>
        <v>43560</v>
      </c>
    </row>
    <row r="17" spans="1:19">
      <c r="A17" s="35" t="str">
        <f>'11.Charges'!A17</f>
        <v>Frais indirects de vente</v>
      </c>
      <c r="B17" s="31" t="str">
        <f>'11.Charges'!B17</f>
        <v>Stockage Tenue de luxe Homme</v>
      </c>
      <c r="C17" s="31" t="str">
        <f>'11.Charges'!C17</f>
        <v>FIF2</v>
      </c>
      <c r="D17" s="108">
        <f>'11.Charges'!$D$13*'11.Charges'!$E$13*'9.Var.Vente1'!D9</f>
        <v>0</v>
      </c>
      <c r="E17" s="31">
        <f>'11.Charges'!$D$13*'11.Charges'!$E$13*'9.Var.Vente1'!E9</f>
        <v>0</v>
      </c>
      <c r="F17" s="31">
        <f>'11.Charges'!$D$13*'11.Charges'!$E$13*'9.Var.Vente1'!F9</f>
        <v>0</v>
      </c>
      <c r="G17" s="31">
        <f>'11.Charges'!$D$13*'11.Charges'!$E$13*'9.Var.Vente1'!G9</f>
        <v>0</v>
      </c>
      <c r="H17" s="31">
        <f>'11.Charges'!$D$13*'11.Charges'!$E$13*'9.Var.Vente1'!H9</f>
        <v>0</v>
      </c>
      <c r="I17" s="31">
        <f>'11.Charges'!$D$13*'11.Charges'!$E$13*'9.Var.Vente1'!I9</f>
        <v>0</v>
      </c>
      <c r="J17" s="31">
        <f>'11.Charges'!$D$13*'11.Charges'!$E$13*'9.Var.Vente1'!J9</f>
        <v>0</v>
      </c>
      <c r="K17" s="31">
        <f>'11.Charges'!$D$13*'11.Charges'!$E$13*'9.Var.Vente1'!K9</f>
        <v>0</v>
      </c>
      <c r="L17" s="31">
        <f>'11.Charges'!$D$13*'11.Charges'!$E$13*'9.Var.Vente1'!L9</f>
        <v>0</v>
      </c>
      <c r="M17" s="31">
        <f>'11.Charges'!$D$13*'11.Charges'!$E$13*'9.Var.Vente1'!M9</f>
        <v>0</v>
      </c>
      <c r="N17" s="31">
        <f>'11.Charges'!$D$13*'11.Charges'!$E$13*'9.Var.Vente1'!N9</f>
        <v>0</v>
      </c>
      <c r="O17" s="31">
        <f>'11.Charges'!$D$13*'11.Charges'!$E$13*'9.Var.Vente1'!O9</f>
        <v>0</v>
      </c>
      <c r="P17" s="31">
        <f>'11.Charges'!$D17*'11.Charges'!$E17*'9.Var.Vente1'!P$5</f>
        <v>288000</v>
      </c>
      <c r="Q17" s="31">
        <f>'11.Charges'!$D17*'11.Charges'!$E17*'9.Var.Vente1'!Q$5</f>
        <v>316800</v>
      </c>
      <c r="R17" s="31">
        <f>'11.Charges'!$D17*'11.Charges'!$E17*'9.Var.Vente1'!R$5</f>
        <v>348480</v>
      </c>
    </row>
    <row r="18" spans="1:19">
      <c r="A18" s="35" t="str">
        <f>'11.Charges'!A18</f>
        <v>Frais indirects de vente</v>
      </c>
      <c r="B18" s="31" t="str">
        <f>'11.Charges'!B18</f>
        <v>Stockage Tenue de luxe Femme</v>
      </c>
      <c r="C18" s="31" t="str">
        <f>'11.Charges'!C18</f>
        <v>FIF2</v>
      </c>
      <c r="D18" s="108">
        <f>'11.Charges'!$D$13*'11.Charges'!$E$13*'9.Var.Vente1'!D10</f>
        <v>0</v>
      </c>
      <c r="E18" s="31">
        <f>'11.Charges'!$D$13*'11.Charges'!$E$13*'9.Var.Vente1'!E10</f>
        <v>0</v>
      </c>
      <c r="F18" s="31">
        <f>'11.Charges'!$D$13*'11.Charges'!$E$13*'9.Var.Vente1'!F10</f>
        <v>0</v>
      </c>
      <c r="G18" s="31">
        <f>'11.Charges'!$D$13*'11.Charges'!$E$13*'9.Var.Vente1'!G10</f>
        <v>0</v>
      </c>
      <c r="H18" s="31">
        <f>'11.Charges'!$D$13*'11.Charges'!$E$13*'9.Var.Vente1'!H10</f>
        <v>0</v>
      </c>
      <c r="I18" s="31">
        <f>'11.Charges'!$D$13*'11.Charges'!$E$13*'9.Var.Vente1'!I10</f>
        <v>0</v>
      </c>
      <c r="J18" s="31">
        <f>'11.Charges'!$D$13*'11.Charges'!$E$13*'9.Var.Vente1'!J10</f>
        <v>0</v>
      </c>
      <c r="K18" s="31">
        <f>'11.Charges'!$D$13*'11.Charges'!$E$13*'9.Var.Vente1'!K10</f>
        <v>0</v>
      </c>
      <c r="L18" s="31">
        <f>'11.Charges'!$D$13*'11.Charges'!$E$13*'9.Var.Vente1'!L10</f>
        <v>0</v>
      </c>
      <c r="M18" s="31">
        <f>'11.Charges'!$D$13*'11.Charges'!$E$13*'9.Var.Vente1'!M10</f>
        <v>0</v>
      </c>
      <c r="N18" s="31">
        <f>'11.Charges'!$D$13*'11.Charges'!$E$13*'9.Var.Vente1'!N10</f>
        <v>0</v>
      </c>
      <c r="O18" s="31">
        <f>'11.Charges'!$D$13*'11.Charges'!$E$13*'9.Var.Vente1'!O10</f>
        <v>0</v>
      </c>
      <c r="P18" s="31">
        <f>'11.Charges'!$D18*'11.Charges'!$E18*'9.Var.Vente1'!P$5</f>
        <v>576000</v>
      </c>
      <c r="Q18" s="31">
        <f>'11.Charges'!$D18*'11.Charges'!$E18*'9.Var.Vente1'!Q$5</f>
        <v>633600</v>
      </c>
      <c r="R18" s="31">
        <f>'11.Charges'!$D18*'11.Charges'!$E18*'9.Var.Vente1'!R$5</f>
        <v>696960</v>
      </c>
    </row>
    <row r="19" spans="1:19">
      <c r="A19" s="35" t="str">
        <f>'11.Charges'!A19</f>
        <v>Frais indirects de vente</v>
      </c>
      <c r="B19" s="31" t="str">
        <f>'11.Charges'!B19</f>
        <v>Stockage Prêt-à-porter homme</v>
      </c>
      <c r="C19" s="31" t="str">
        <f>'11.Charges'!C19</f>
        <v>FIF2</v>
      </c>
      <c r="D19" s="108">
        <f>'11.Charges'!$D$13*'11.Charges'!$E$13*'9.Var.Vente1'!D11</f>
        <v>0</v>
      </c>
      <c r="E19" s="31">
        <f>'11.Charges'!$D$13*'11.Charges'!$E$13*'9.Var.Vente1'!E11</f>
        <v>0</v>
      </c>
      <c r="F19" s="31">
        <f>'11.Charges'!$D$13*'11.Charges'!$E$13*'9.Var.Vente1'!F11</f>
        <v>0</v>
      </c>
      <c r="G19" s="31">
        <f>'11.Charges'!$D$13*'11.Charges'!$E$13*'9.Var.Vente1'!G11</f>
        <v>0</v>
      </c>
      <c r="H19" s="31">
        <f>'11.Charges'!$D$13*'11.Charges'!$E$13*'9.Var.Vente1'!H11</f>
        <v>0</v>
      </c>
      <c r="I19" s="31">
        <f>'11.Charges'!$D$13*'11.Charges'!$E$13*'9.Var.Vente1'!I11</f>
        <v>0</v>
      </c>
      <c r="J19" s="31">
        <f>'11.Charges'!$D$13*'11.Charges'!$E$13*'9.Var.Vente1'!J11</f>
        <v>0</v>
      </c>
      <c r="K19" s="31">
        <f>'11.Charges'!$D$13*'11.Charges'!$E$13*'9.Var.Vente1'!K11</f>
        <v>0</v>
      </c>
      <c r="L19" s="31">
        <f>'11.Charges'!$D$13*'11.Charges'!$E$13*'9.Var.Vente1'!L11</f>
        <v>0</v>
      </c>
      <c r="M19" s="31">
        <f>'11.Charges'!$D$13*'11.Charges'!$E$13*'9.Var.Vente1'!M11</f>
        <v>0</v>
      </c>
      <c r="N19" s="31">
        <f>'11.Charges'!$D$13*'11.Charges'!$E$13*'9.Var.Vente1'!N11</f>
        <v>0</v>
      </c>
      <c r="O19" s="31">
        <f>'11.Charges'!$D$13*'11.Charges'!$E$13*'9.Var.Vente1'!O11</f>
        <v>0</v>
      </c>
      <c r="P19" s="31">
        <f>'11.Charges'!$D19*'11.Charges'!$E19*'9.Var.Vente1'!P$5</f>
        <v>144000</v>
      </c>
      <c r="Q19" s="31">
        <f>'11.Charges'!$D19*'11.Charges'!$E19*'9.Var.Vente1'!Q$5</f>
        <v>158400</v>
      </c>
      <c r="R19" s="31">
        <f>'11.Charges'!$D19*'11.Charges'!$E19*'9.Var.Vente1'!R$5</f>
        <v>174240</v>
      </c>
    </row>
    <row r="20" spans="1:19">
      <c r="A20" s="35" t="str">
        <f>'11.Charges'!A20</f>
        <v>Frais indirects de vente</v>
      </c>
      <c r="B20" s="31" t="str">
        <f>'11.Charges'!B20</f>
        <v>Stockage Prêt-à-porter femme</v>
      </c>
      <c r="C20" s="31" t="str">
        <f>'11.Charges'!C20</f>
        <v>FIF2</v>
      </c>
      <c r="D20" s="108">
        <f>'11.Charges'!$D$13*'11.Charges'!$E$13*'9.Var.Vente1'!D12</f>
        <v>43500</v>
      </c>
      <c r="E20" s="31">
        <f>'11.Charges'!$D$13*'11.Charges'!$E$13*'9.Var.Vente1'!E12</f>
        <v>43500</v>
      </c>
      <c r="F20" s="31">
        <f>'11.Charges'!$D$13*'11.Charges'!$E$13*'9.Var.Vente1'!F12</f>
        <v>43500</v>
      </c>
      <c r="G20" s="31">
        <f>'11.Charges'!$D$13*'11.Charges'!$E$13*'9.Var.Vente1'!G12</f>
        <v>43500</v>
      </c>
      <c r="H20" s="31">
        <f>'11.Charges'!$D$13*'11.Charges'!$E$13*'9.Var.Vente1'!H12</f>
        <v>43500</v>
      </c>
      <c r="I20" s="31">
        <f>'11.Charges'!$D$13*'11.Charges'!$E$13*'9.Var.Vente1'!I12</f>
        <v>43500</v>
      </c>
      <c r="J20" s="31">
        <f>'11.Charges'!$D$13*'11.Charges'!$E$13*'9.Var.Vente1'!J12</f>
        <v>43500</v>
      </c>
      <c r="K20" s="31">
        <f>'11.Charges'!$D$13*'11.Charges'!$E$13*'9.Var.Vente1'!K12</f>
        <v>43500</v>
      </c>
      <c r="L20" s="31">
        <f>'11.Charges'!$D$13*'11.Charges'!$E$13*'9.Var.Vente1'!L12</f>
        <v>43500</v>
      </c>
      <c r="M20" s="31">
        <f>'11.Charges'!$D$13*'11.Charges'!$E$13*'9.Var.Vente1'!M12</f>
        <v>43500</v>
      </c>
      <c r="N20" s="31">
        <f>'11.Charges'!$D$13*'11.Charges'!$E$13*'9.Var.Vente1'!N12</f>
        <v>43500</v>
      </c>
      <c r="O20" s="31">
        <f>'11.Charges'!$D$13*'11.Charges'!$E$13*'9.Var.Vente1'!O12</f>
        <v>43500</v>
      </c>
      <c r="P20" s="31">
        <f>'11.Charges'!$D20*'11.Charges'!$E20*'9.Var.Vente1'!P$5</f>
        <v>72000</v>
      </c>
      <c r="Q20" s="31">
        <f>'11.Charges'!$D20*'11.Charges'!$E20*'9.Var.Vente1'!Q$5</f>
        <v>79200</v>
      </c>
      <c r="R20" s="31">
        <f>'11.Charges'!$D20*'11.Charges'!$E20*'9.Var.Vente1'!R$5</f>
        <v>87120</v>
      </c>
    </row>
    <row r="21" spans="1:19">
      <c r="A21" s="35" t="str">
        <f>'11.Charges'!A21</f>
        <v>Frais indirects de vente</v>
      </c>
      <c r="B21" s="31" t="str">
        <f>'11.Charges'!B21</f>
        <v>Commission MP Tenue de luxe Homme</v>
      </c>
      <c r="C21" s="31" t="str">
        <f>'11.Charges'!C21</f>
        <v>FIF2</v>
      </c>
      <c r="D21" s="108">
        <f>'11.Charges'!$D$13*'11.Charges'!$E$13*'9.Var.Vente1'!D13</f>
        <v>0</v>
      </c>
      <c r="E21" s="31">
        <f>'11.Charges'!$D$13*'11.Charges'!$E$13*'9.Var.Vente1'!E13</f>
        <v>0</v>
      </c>
      <c r="F21" s="31">
        <f>'11.Charges'!$D$13*'11.Charges'!$E$13*'9.Var.Vente1'!F13</f>
        <v>0</v>
      </c>
      <c r="G21" s="31">
        <f>'11.Charges'!$D$13*'11.Charges'!$E$13*'9.Var.Vente1'!G13</f>
        <v>0</v>
      </c>
      <c r="H21" s="31">
        <f>'11.Charges'!$D$13*'11.Charges'!$E$13*'9.Var.Vente1'!H13</f>
        <v>0</v>
      </c>
      <c r="I21" s="31">
        <f>'11.Charges'!$D$13*'11.Charges'!$E$13*'9.Var.Vente1'!I13</f>
        <v>0</v>
      </c>
      <c r="J21" s="31">
        <f>'11.Charges'!$D$13*'11.Charges'!$E$13*'9.Var.Vente1'!J13</f>
        <v>0</v>
      </c>
      <c r="K21" s="31">
        <f>'11.Charges'!$D$13*'11.Charges'!$E$13*'9.Var.Vente1'!K13</f>
        <v>0</v>
      </c>
      <c r="L21" s="31">
        <f>'11.Charges'!$D$13*'11.Charges'!$E$13*'9.Var.Vente1'!L13</f>
        <v>0</v>
      </c>
      <c r="M21" s="31">
        <f>'11.Charges'!$D$13*'11.Charges'!$E$13*'9.Var.Vente1'!M13</f>
        <v>0</v>
      </c>
      <c r="N21" s="31">
        <f>'11.Charges'!$D$13*'11.Charges'!$E$13*'9.Var.Vente1'!N13</f>
        <v>0</v>
      </c>
      <c r="O21" s="31">
        <f>'11.Charges'!$D$13*'11.Charges'!$E$13*'9.Var.Vente1'!O13</f>
        <v>0</v>
      </c>
      <c r="P21" s="31">
        <f>'11.Charges'!$D21*'11.Charges'!$E21*'9.Var.Vente1'!P$5</f>
        <v>144000</v>
      </c>
      <c r="Q21" s="31">
        <f>'11.Charges'!$D21*'11.Charges'!$E21*'9.Var.Vente1'!Q$5</f>
        <v>158400</v>
      </c>
      <c r="R21" s="31">
        <f>'11.Charges'!$D21*'11.Charges'!$E21*'9.Var.Vente1'!R$5</f>
        <v>174240</v>
      </c>
    </row>
    <row r="22" spans="1:19">
      <c r="A22" s="35" t="str">
        <f>'11.Charges'!A22</f>
        <v>Frais indirects de vente</v>
      </c>
      <c r="B22" s="31" t="str">
        <f>'11.Charges'!B22</f>
        <v>Commission MP Tenue de luxe Femme</v>
      </c>
      <c r="C22" s="31" t="str">
        <f>'11.Charges'!C22</f>
        <v>FIF2</v>
      </c>
      <c r="D22" s="108">
        <f>'11.Charges'!$D$13*'11.Charges'!$E$13*'9.Var.Vente1'!D14</f>
        <v>0</v>
      </c>
      <c r="E22" s="31">
        <f>'11.Charges'!$D$13*'11.Charges'!$E$13*'9.Var.Vente1'!E14</f>
        <v>0</v>
      </c>
      <c r="F22" s="31">
        <f>'11.Charges'!$D$13*'11.Charges'!$E$13*'9.Var.Vente1'!F14</f>
        <v>0</v>
      </c>
      <c r="G22" s="31">
        <f>'11.Charges'!$D$13*'11.Charges'!$E$13*'9.Var.Vente1'!G14</f>
        <v>0</v>
      </c>
      <c r="H22" s="31">
        <f>'11.Charges'!$D$13*'11.Charges'!$E$13*'9.Var.Vente1'!H14</f>
        <v>0</v>
      </c>
      <c r="I22" s="31">
        <f>'11.Charges'!$D$13*'11.Charges'!$E$13*'9.Var.Vente1'!I14</f>
        <v>0</v>
      </c>
      <c r="J22" s="31">
        <f>'11.Charges'!$D$13*'11.Charges'!$E$13*'9.Var.Vente1'!J14</f>
        <v>0</v>
      </c>
      <c r="K22" s="31">
        <f>'11.Charges'!$D$13*'11.Charges'!$E$13*'9.Var.Vente1'!K14</f>
        <v>0</v>
      </c>
      <c r="L22" s="31">
        <f>'11.Charges'!$D$13*'11.Charges'!$E$13*'9.Var.Vente1'!L14</f>
        <v>0</v>
      </c>
      <c r="M22" s="31">
        <f>'11.Charges'!$D$13*'11.Charges'!$E$13*'9.Var.Vente1'!M14</f>
        <v>0</v>
      </c>
      <c r="N22" s="31">
        <f>'11.Charges'!$D$13*'11.Charges'!$E$13*'9.Var.Vente1'!N14</f>
        <v>0</v>
      </c>
      <c r="O22" s="31">
        <f>'11.Charges'!$D$13*'11.Charges'!$E$13*'9.Var.Vente1'!O14</f>
        <v>0</v>
      </c>
      <c r="P22" s="31">
        <f>'11.Charges'!$D22*'11.Charges'!$E22*'9.Var.Vente1'!P$5</f>
        <v>288000</v>
      </c>
      <c r="Q22" s="31">
        <f>'11.Charges'!$D22*'11.Charges'!$E22*'9.Var.Vente1'!Q$5</f>
        <v>316800</v>
      </c>
      <c r="R22" s="31">
        <f>'11.Charges'!$D22*'11.Charges'!$E22*'9.Var.Vente1'!R$5</f>
        <v>348480</v>
      </c>
    </row>
    <row r="23" spans="1:19">
      <c r="A23" s="35" t="str">
        <f>'11.Charges'!A23</f>
        <v>Frais indirects de vente</v>
      </c>
      <c r="B23" s="31" t="str">
        <f>'11.Charges'!B23</f>
        <v>Commission MP Prêt-à-porter homme</v>
      </c>
      <c r="C23" s="31" t="str">
        <f>'11.Charges'!C23</f>
        <v>FIF2</v>
      </c>
      <c r="D23" s="108">
        <f>'11.Charges'!$D$13*'11.Charges'!$E$13*'9.Var.Vente1'!D15</f>
        <v>0</v>
      </c>
      <c r="E23" s="31">
        <f>'11.Charges'!$D$13*'11.Charges'!$E$13*'9.Var.Vente1'!E15</f>
        <v>0</v>
      </c>
      <c r="F23" s="31">
        <f>'11.Charges'!$D$13*'11.Charges'!$E$13*'9.Var.Vente1'!F15</f>
        <v>0</v>
      </c>
      <c r="G23" s="31">
        <f>'11.Charges'!$D$13*'11.Charges'!$E$13*'9.Var.Vente1'!G15</f>
        <v>0</v>
      </c>
      <c r="H23" s="31">
        <f>'11.Charges'!$D$13*'11.Charges'!$E$13*'9.Var.Vente1'!H15</f>
        <v>0</v>
      </c>
      <c r="I23" s="31">
        <f>'11.Charges'!$D$13*'11.Charges'!$E$13*'9.Var.Vente1'!I15</f>
        <v>0</v>
      </c>
      <c r="J23" s="31">
        <f>'11.Charges'!$D$13*'11.Charges'!$E$13*'9.Var.Vente1'!J15</f>
        <v>0</v>
      </c>
      <c r="K23" s="31">
        <f>'11.Charges'!$D$13*'11.Charges'!$E$13*'9.Var.Vente1'!K15</f>
        <v>0</v>
      </c>
      <c r="L23" s="31">
        <f>'11.Charges'!$D$13*'11.Charges'!$E$13*'9.Var.Vente1'!L15</f>
        <v>0</v>
      </c>
      <c r="M23" s="31">
        <f>'11.Charges'!$D$13*'11.Charges'!$E$13*'9.Var.Vente1'!M15</f>
        <v>0</v>
      </c>
      <c r="N23" s="31">
        <f>'11.Charges'!$D$13*'11.Charges'!$E$13*'9.Var.Vente1'!N15</f>
        <v>0</v>
      </c>
      <c r="O23" s="31">
        <f>'11.Charges'!$D$13*'11.Charges'!$E$13*'9.Var.Vente1'!O15</f>
        <v>0</v>
      </c>
      <c r="P23" s="31">
        <f>'11.Charges'!$D23*'11.Charges'!$E23*'9.Var.Vente1'!P$5</f>
        <v>72000</v>
      </c>
      <c r="Q23" s="31">
        <f>'11.Charges'!$D23*'11.Charges'!$E23*'9.Var.Vente1'!Q$5</f>
        <v>79200</v>
      </c>
      <c r="R23" s="31">
        <f>'11.Charges'!$D23*'11.Charges'!$E23*'9.Var.Vente1'!R$5</f>
        <v>87120</v>
      </c>
    </row>
    <row r="24" spans="1:19">
      <c r="A24" s="35" t="str">
        <f>'11.Charges'!A24</f>
        <v>Frais indirects de vente</v>
      </c>
      <c r="B24" s="31" t="str">
        <f>'11.Charges'!B24</f>
        <v>Commission MP Prêt-à-porter femme</v>
      </c>
      <c r="C24" s="31" t="str">
        <f>'11.Charges'!C24</f>
        <v>FIF2</v>
      </c>
      <c r="D24" s="108">
        <f>'11.Charges'!$D$13*'11.Charges'!$E$13*'9.Var.Vente1'!D16</f>
        <v>0</v>
      </c>
      <c r="E24" s="31">
        <f>'11.Charges'!$D$13*'11.Charges'!$E$13*'9.Var.Vente1'!E16</f>
        <v>0</v>
      </c>
      <c r="F24" s="31">
        <f>'11.Charges'!$D$13*'11.Charges'!$E$13*'9.Var.Vente1'!F16</f>
        <v>0</v>
      </c>
      <c r="G24" s="31">
        <f>'11.Charges'!$D$13*'11.Charges'!$E$13*'9.Var.Vente1'!G16</f>
        <v>0</v>
      </c>
      <c r="H24" s="31">
        <f>'11.Charges'!$D$13*'11.Charges'!$E$13*'9.Var.Vente1'!H16</f>
        <v>0</v>
      </c>
      <c r="I24" s="31">
        <f>'11.Charges'!$D$13*'11.Charges'!$E$13*'9.Var.Vente1'!I16</f>
        <v>0</v>
      </c>
      <c r="J24" s="31">
        <f>'11.Charges'!$D$13*'11.Charges'!$E$13*'9.Var.Vente1'!J16</f>
        <v>0</v>
      </c>
      <c r="K24" s="31">
        <f>'11.Charges'!$D$13*'11.Charges'!$E$13*'9.Var.Vente1'!K16</f>
        <v>0</v>
      </c>
      <c r="L24" s="31">
        <f>'11.Charges'!$D$13*'11.Charges'!$E$13*'9.Var.Vente1'!L16</f>
        <v>0</v>
      </c>
      <c r="M24" s="31">
        <f>'11.Charges'!$D$13*'11.Charges'!$E$13*'9.Var.Vente1'!M16</f>
        <v>0</v>
      </c>
      <c r="N24" s="31">
        <f>'11.Charges'!$D$13*'11.Charges'!$E$13*'9.Var.Vente1'!N16</f>
        <v>0</v>
      </c>
      <c r="O24" s="31">
        <f>'11.Charges'!$D$13*'11.Charges'!$E$13*'9.Var.Vente1'!O16</f>
        <v>0</v>
      </c>
      <c r="P24" s="31">
        <f>'11.Charges'!$D24*'11.Charges'!$E24*'9.Var.Vente1'!P$5</f>
        <v>36000</v>
      </c>
      <c r="Q24" s="31">
        <f>'11.Charges'!$D24*'11.Charges'!$E24*'9.Var.Vente1'!Q$5</f>
        <v>39600</v>
      </c>
      <c r="R24" s="31">
        <f>'11.Charges'!$D24*'11.Charges'!$E24*'9.Var.Vente1'!R$5</f>
        <v>43560</v>
      </c>
    </row>
    <row r="25" spans="1:19">
      <c r="A25" s="113" t="str">
        <f>'11.Charges'!A25</f>
        <v>Frais indirects de vente de services</v>
      </c>
      <c r="B25" s="31">
        <f>'11.Charges'!B25</f>
        <v/>
      </c>
      <c r="C25" s="31" t="str">
        <f>'11.Charges'!C25</f>
        <v>FIF3</v>
      </c>
      <c r="D25" s="110">
        <f>'11.Charges'!$D$25*'11.Charges'!$E$25*'9.Var.Vente1'!D10</f>
        <v>0</v>
      </c>
      <c r="E25" s="31">
        <f>'11.Charges'!$D$25*'11.Charges'!$E$25*'9.Var.Vente1'!E10</f>
        <v>0</v>
      </c>
      <c r="F25" s="31">
        <f>'11.Charges'!$D$25*'11.Charges'!$E$25*'9.Var.Vente1'!F10</f>
        <v>0</v>
      </c>
      <c r="G25" s="31">
        <f>'11.Charges'!$D$25*'11.Charges'!$E$25*'9.Var.Vente1'!G10</f>
        <v>0</v>
      </c>
      <c r="H25" s="31">
        <f>'11.Charges'!$D$25*'11.Charges'!$E$25*'9.Var.Vente1'!H10</f>
        <v>0</v>
      </c>
      <c r="I25" s="31">
        <f>'11.Charges'!$D$25*'11.Charges'!$E$25*'9.Var.Vente1'!I10</f>
        <v>0</v>
      </c>
      <c r="J25" s="31">
        <f>'11.Charges'!$D$25*'11.Charges'!$E$25*'9.Var.Vente1'!J10</f>
        <v>0</v>
      </c>
      <c r="K25" s="31">
        <f>'11.Charges'!$D$25*'11.Charges'!$E$25*'9.Var.Vente1'!K10</f>
        <v>0</v>
      </c>
      <c r="L25" s="31">
        <f>'11.Charges'!$D$25*'11.Charges'!$E$25*'9.Var.Vente1'!L10</f>
        <v>0</v>
      </c>
      <c r="M25" s="31">
        <f>'11.Charges'!$D$25*'11.Charges'!$E$25*'9.Var.Vente1'!M10</f>
        <v>0</v>
      </c>
      <c r="N25" s="31">
        <f>'11.Charges'!$D$25*'11.Charges'!$E$25*'9.Var.Vente1'!N10</f>
        <v>0</v>
      </c>
      <c r="O25" s="31">
        <f>'11.Charges'!$D$25*'11.Charges'!$E$25*'9.Var.Vente1'!O10</f>
        <v>0</v>
      </c>
      <c r="P25" s="31">
        <f>'11.Charges'!$D25*'11.Charges'!$E25*'9.Var.Vente1'!P$5</f>
        <v>0</v>
      </c>
      <c r="Q25" s="31">
        <f>'11.Charges'!$D25*'11.Charges'!$E25*'9.Var.Vente1'!Q$5</f>
        <v>0</v>
      </c>
      <c r="R25" s="31">
        <f>'11.Charges'!$D25*'11.Charges'!$E25*'9.Var.Vente1'!R$5</f>
        <v>0</v>
      </c>
    </row>
    <row r="26" spans="1:19">
      <c r="A26" s="37" t="str">
        <f>'11.Charges'!A26</f>
        <v>Salaires et Avantages </v>
      </c>
      <c r="B26" s="31" t="str">
        <f>'11.Charges'!B26</f>
        <v>Salaire personnel</v>
      </c>
      <c r="C26" s="31" t="str">
        <f>'11.Charges'!C26</f>
        <v>SAV1</v>
      </c>
      <c r="D26" s="31">
        <f>'11.Charges'!$D$26*'11.Charges'!$E$26*'10.Vente'!$P$12/12</f>
        <v>617760</v>
      </c>
      <c r="E26" s="31">
        <f>'11.Charges'!$D$26*'11.Charges'!$E$26*'10.Vente'!$P$12/12</f>
        <v>617760</v>
      </c>
      <c r="F26" s="31">
        <f>'11.Charges'!$D$26*'11.Charges'!$E$26*'10.Vente'!$P$12/12</f>
        <v>617760</v>
      </c>
      <c r="G26" s="31">
        <f>'11.Charges'!$D$26*'11.Charges'!$E$26*'10.Vente'!$P$12/12</f>
        <v>617760</v>
      </c>
      <c r="H26" s="31">
        <f>'11.Charges'!$D$26*'11.Charges'!$E$26*'10.Vente'!$P$12/12</f>
        <v>617760</v>
      </c>
      <c r="I26" s="31">
        <f>'11.Charges'!$D$26*'11.Charges'!$E$26*'10.Vente'!$P$12/12</f>
        <v>617760</v>
      </c>
      <c r="J26" s="31">
        <f>'11.Charges'!$D$26*'11.Charges'!$E$26*'10.Vente'!$P$12/12</f>
        <v>617760</v>
      </c>
      <c r="K26" s="31">
        <f>'11.Charges'!$D$26*'11.Charges'!$E$26*'10.Vente'!$P$12/12</f>
        <v>617760</v>
      </c>
      <c r="L26" s="31">
        <f>'11.Charges'!$D$26*'11.Charges'!$E$26*'10.Vente'!$P$12/12</f>
        <v>617760</v>
      </c>
      <c r="M26" s="31">
        <f>'11.Charges'!$D$26*'11.Charges'!$E$26*'10.Vente'!$P$12/12</f>
        <v>617760</v>
      </c>
      <c r="N26" s="31">
        <f>'11.Charges'!$D$26*'11.Charges'!$E$26*'10.Vente'!$P$12/12</f>
        <v>617760</v>
      </c>
      <c r="O26" s="31">
        <f>'11.Charges'!$D$26*'11.Charges'!$E$26*'10.Vente'!$P$12/12</f>
        <v>617760</v>
      </c>
      <c r="P26" s="31">
        <f>'11.Charges'!$D$26*'11.Charges'!$E$26*'10.Vente'!P$12</f>
        <v>7413120</v>
      </c>
      <c r="Q26" s="31">
        <f>'11.Charges'!$D$26*'11.Charges'!$E$26*'10.Vente'!Q$12</f>
        <v>8154432</v>
      </c>
      <c r="R26" s="31">
        <f>'11.Charges'!$D$26*'11.Charges'!$E$26*'10.Vente'!R$12</f>
        <v>8969875.2</v>
      </c>
    </row>
    <row r="27" spans="1:19">
      <c r="A27" s="37" t="str">
        <f>'11.Charges'!A27</f>
        <v>Taxe et redevance</v>
      </c>
      <c r="B27" s="31" t="str">
        <f>'11.Charges'!B27</f>
        <v>Timbre</v>
      </c>
      <c r="C27" s="31" t="str">
        <f>'11.Charges'!C27</f>
        <v>TXR1</v>
      </c>
      <c r="D27" s="31">
        <f>'11.Charges'!$D$27*'11.Charges'!$E$27*'10.Vente'!D12</f>
        <v>13478.4</v>
      </c>
      <c r="E27" s="31">
        <f>'11.Charges'!$D$27*'11.Charges'!$E$27*'10.Vente'!E12</f>
        <v>13478.4</v>
      </c>
      <c r="F27" s="31">
        <f>'11.Charges'!$D$27*'11.Charges'!$E$27*'10.Vente'!F12</f>
        <v>13478.4</v>
      </c>
      <c r="G27" s="31">
        <f>'11.Charges'!$D$27*'11.Charges'!$E$27*'10.Vente'!G12</f>
        <v>13478.4</v>
      </c>
      <c r="H27" s="31">
        <f>'11.Charges'!$D$27*'11.Charges'!$E$27*'10.Vente'!H12</f>
        <v>13478.4</v>
      </c>
      <c r="I27" s="31">
        <f>'11.Charges'!$D$27*'11.Charges'!$E$27*'10.Vente'!I12</f>
        <v>13478.4</v>
      </c>
      <c r="J27" s="31">
        <f>'11.Charges'!$D$27*'11.Charges'!$E$27*'10.Vente'!J12</f>
        <v>13478.4</v>
      </c>
      <c r="K27" s="31">
        <f>'11.Charges'!$D$27*'11.Charges'!$E$27*'10.Vente'!K12</f>
        <v>13478.4</v>
      </c>
      <c r="L27" s="31">
        <f>'11.Charges'!$D$27*'11.Charges'!$E$27*'10.Vente'!L12</f>
        <v>13478.4</v>
      </c>
      <c r="M27" s="31">
        <f>'11.Charges'!$D$27*'11.Charges'!$E$27*'10.Vente'!M12</f>
        <v>13478.4</v>
      </c>
      <c r="N27" s="31">
        <f>'11.Charges'!$D$27*'11.Charges'!$E$27*'10.Vente'!N12</f>
        <v>13478.4</v>
      </c>
      <c r="O27" s="31">
        <f>'11.Charges'!$D$27*'11.Charges'!$E$27*'10.Vente'!O12</f>
        <v>13478.4</v>
      </c>
      <c r="P27" s="31">
        <f>'11.Charges'!$D$27*'11.Charges'!$E$27*'10.Vente'!P12</f>
        <v>161740.8</v>
      </c>
      <c r="Q27" s="31">
        <f>'11.Charges'!$D$27*'11.Charges'!$E$27*'10.Vente'!Q12</f>
        <v>177914.88</v>
      </c>
      <c r="R27" s="31">
        <f>'11.Charges'!$D$27*'11.Charges'!$E$27*'10.Vente'!R12</f>
        <v>195706.368</v>
      </c>
    </row>
    <row r="28" spans="1:19">
      <c r="A28" s="37" t="str">
        <f>'11.Charges'!A28</f>
        <v>Impôt sur les entreprises</v>
      </c>
      <c r="B28" s="31" t="str">
        <f>'11.Charges'!B28</f>
        <v>BIC</v>
      </c>
      <c r="C28" s="31" t="str">
        <f>'11.Charges'!C28</f>
        <v>IMP1</v>
      </c>
      <c r="D28" s="31"/>
      <c r="E28" s="31"/>
      <c r="F28" s="31"/>
      <c r="G28" s="31"/>
      <c r="H28" s="31"/>
      <c r="I28" s="31"/>
      <c r="J28" s="31"/>
      <c r="K28" s="31"/>
      <c r="L28" s="31"/>
      <c r="M28" s="31"/>
      <c r="N28" s="31"/>
      <c r="O28" s="31">
        <f>'11.Charges'!$D$28*'11.Charges'!$E$28*'10.Vente'!P12</f>
        <v>1034467.2</v>
      </c>
      <c r="P28" s="31">
        <f>'11.Charges'!$D$28*'11.Charges'!$E$28*'10.Vente'!P12</f>
        <v>1034467.2</v>
      </c>
      <c r="Q28" s="31">
        <f>'11.Charges'!$D$28*'11.Charges'!$E$28*'10.Vente'!Q12</f>
        <v>1137913.92</v>
      </c>
      <c r="R28" s="31">
        <f>'11.Charges'!$D$28*'11.Charges'!$E$28*'10.Vente'!R12</f>
        <v>1251705.312</v>
      </c>
    </row>
    <row r="29" spans="1:19">
      <c r="A29" s="115" t="str">
        <f>'11.Charges'!A40</f>
        <v>Amortissement Exploitation</v>
      </c>
      <c r="B29" s="31" t="str">
        <f>'11.Charges'!B40</f>
        <v>Amortissement équipement.</v>
      </c>
      <c r="C29" s="31" t="str">
        <f>'11.Charges'!C40</f>
        <v>AMR1</v>
      </c>
      <c r="D29" s="31"/>
      <c r="E29" s="31"/>
      <c r="F29" s="31"/>
      <c r="G29" s="31"/>
      <c r="H29" s="31"/>
      <c r="I29" s="31"/>
      <c r="J29" s="31"/>
      <c r="K29" s="31"/>
      <c r="L29" s="31"/>
      <c r="M29" s="31"/>
      <c r="N29" s="31"/>
      <c r="O29" s="31">
        <f>'11.Charges'!$D$40*'11.Charges'!$E$40*'10.Vente'!P$12</f>
        <v>1182729.6</v>
      </c>
      <c r="P29" s="31">
        <f>'11.Charges'!$D$40*'11.Charges'!$E$40*'10.Vente'!P$12</f>
        <v>1182729.6</v>
      </c>
      <c r="Q29" s="31">
        <f>'11.Charges'!$D$40*'11.Charges'!$E$40*'10.Vente'!Q$12</f>
        <v>1301002.56</v>
      </c>
      <c r="R29" s="31">
        <f>'11.Charges'!$D$40*'11.Charges'!$E$40*'10.Vente'!R$12</f>
        <v>1431102.816</v>
      </c>
    </row>
    <row r="30" spans="1:19">
      <c r="O30" s="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legacyDrawing r:id="rId_comments_vml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C00000"/>
    <outlinePr summaryBelow="1" summaryRight="1"/>
  </sheetPr>
  <dimension ref="A1:S14"/>
  <sheetViews>
    <sheetView tabSelected="0" workbookViewId="0" showGridLines="true" showRowColHeaders="1">
      <selection activeCell="B4" sqref="B4:B14"/>
    </sheetView>
  </sheetViews>
  <sheetFormatPr defaultRowHeight="14.4" defaultColWidth="10.83203125" outlineLevelRow="0" outlineLevelCol="0"/>
  <cols>
    <col min="1" max="1" width="21.83203125" customWidth="true" style="24"/>
    <col min="2" max="2" width="7" customWidth="true" style="24"/>
    <col min="3" max="3" width="6.5" customWidth="true" style="24"/>
    <col min="4" max="4" width="3.6640625" customWidth="true" style="24"/>
    <col min="5" max="5" width="3.6640625" customWidth="true" style="24"/>
    <col min="6" max="6" width="3.6640625" customWidth="true" style="24"/>
    <col min="7" max="7" width="3.6640625" customWidth="true" style="24"/>
    <col min="8" max="8" width="3.6640625" customWidth="true" style="24"/>
    <col min="9" max="9" width="3.6640625" customWidth="true" style="24"/>
    <col min="10" max="10" width="3.6640625" customWidth="true" style="24"/>
    <col min="11" max="11" width="3.6640625" customWidth="true" style="24"/>
    <col min="12" max="12" width="3.6640625" customWidth="true" style="24"/>
    <col min="13" max="13" width="3.6640625" customWidth="true" style="24"/>
    <col min="14" max="14" width="3.6640625" customWidth="true" style="24"/>
    <col min="15" max="15" width="3.6640625" customWidth="true" style="24"/>
    <col min="16" max="16" width="3.6640625" customWidth="true" style="24"/>
    <col min="17" max="17" width="3.6640625" customWidth="true" style="24"/>
    <col min="18" max="18" width="3.6640625" customWidth="true" style="24"/>
    <col min="19" max="19" width="10.83203125" style="24"/>
  </cols>
  <sheetData>
    <row r="1" spans="1:19" customHeight="1" ht="14">
      <c r="A1" s="124" t="s">
        <v>334</v>
      </c>
    </row>
    <row r="2" spans="1:19">
      <c r="D2" s="30" t="s">
        <v>331</v>
      </c>
      <c r="E2" s="30"/>
      <c r="F2" s="30"/>
      <c r="G2" s="30"/>
      <c r="H2" s="30"/>
      <c r="I2" s="30"/>
      <c r="J2" s="30"/>
      <c r="K2" s="30"/>
      <c r="L2" s="30"/>
      <c r="M2" s="30"/>
      <c r="N2" s="30"/>
      <c r="O2" s="30"/>
      <c r="P2" s="32" t="s">
        <v>332</v>
      </c>
      <c r="Q2" s="32"/>
      <c r="R2" s="32"/>
    </row>
    <row r="3" spans="1:19">
      <c r="A3" s="27" t="s">
        <v>254</v>
      </c>
      <c r="B3" s="33" t="s">
        <v>333</v>
      </c>
      <c r="C3" s="33" t="s">
        <v>240</v>
      </c>
      <c r="D3" s="123">
        <v>1</v>
      </c>
      <c r="E3" s="123">
        <v>2</v>
      </c>
      <c r="F3" s="123">
        <v>3</v>
      </c>
      <c r="G3" s="123">
        <v>4</v>
      </c>
      <c r="H3" s="123">
        <v>5</v>
      </c>
      <c r="I3" s="123">
        <v>6</v>
      </c>
      <c r="J3" s="123">
        <v>7</v>
      </c>
      <c r="K3" s="123">
        <v>8</v>
      </c>
      <c r="L3" s="123">
        <v>9</v>
      </c>
      <c r="M3" s="123">
        <v>10</v>
      </c>
      <c r="N3" s="123">
        <v>11</v>
      </c>
      <c r="O3" s="123">
        <v>12</v>
      </c>
      <c r="P3" s="123" t="s">
        <v>144</v>
      </c>
      <c r="Q3" s="123" t="s">
        <v>88</v>
      </c>
      <c r="R3" s="123" t="s">
        <v>89</v>
      </c>
    </row>
    <row r="4" spans="1:19">
      <c r="A4" s="26" t="s">
        <v>297</v>
      </c>
      <c r="B4" s="31" t="str">
        <f>'11.Charges'!B29</f>
        <v>Sponsoring page réseaux sociaux</v>
      </c>
      <c r="C4" s="31" t="str">
        <f>'11.Charges'!C29</f>
        <v>MKT1</v>
      </c>
      <c r="D4" s="118">
        <v>1</v>
      </c>
      <c r="E4" s="118"/>
      <c r="F4" s="118"/>
      <c r="G4" s="118"/>
      <c r="H4" s="118"/>
      <c r="I4" s="118"/>
      <c r="J4" s="118"/>
      <c r="K4" s="118"/>
      <c r="L4" s="118"/>
      <c r="M4" s="118"/>
      <c r="N4" s="118"/>
      <c r="O4" s="118"/>
      <c r="P4" s="118">
        <v>1</v>
      </c>
      <c r="Q4" s="118">
        <v>1</v>
      </c>
      <c r="R4" s="118">
        <v>1</v>
      </c>
    </row>
    <row r="5" spans="1:19">
      <c r="A5" s="26" t="s">
        <v>300</v>
      </c>
      <c r="B5" s="31" t="str">
        <f>'11.Charges'!B30</f>
        <v>Frais administration</v>
      </c>
      <c r="C5" s="31" t="str">
        <f>'11.Charges'!C30</f>
        <v>FG1</v>
      </c>
      <c r="D5" s="118">
        <v>1</v>
      </c>
      <c r="E5" s="118">
        <v>1</v>
      </c>
      <c r="F5" s="118">
        <v>1</v>
      </c>
      <c r="G5" s="118">
        <v>1</v>
      </c>
      <c r="H5" s="118">
        <v>1</v>
      </c>
      <c r="I5" s="118">
        <v>1</v>
      </c>
      <c r="J5" s="118">
        <v>1</v>
      </c>
      <c r="K5" s="118">
        <v>1</v>
      </c>
      <c r="L5" s="118">
        <v>1</v>
      </c>
      <c r="M5" s="118">
        <v>1</v>
      </c>
      <c r="N5" s="118">
        <v>1</v>
      </c>
      <c r="O5" s="118">
        <v>1</v>
      </c>
      <c r="P5" s="118">
        <v>1</v>
      </c>
      <c r="Q5" s="118">
        <v>1</v>
      </c>
      <c r="R5" s="118">
        <v>1</v>
      </c>
    </row>
    <row r="6" spans="1:19">
      <c r="A6" s="26" t="s">
        <v>303</v>
      </c>
      <c r="B6" s="31" t="str">
        <f>'11.Charges'!B31</f>
        <v>Eau</v>
      </c>
      <c r="C6" s="31" t="str">
        <f>'11.Charges'!C31</f>
        <v>EEE1</v>
      </c>
      <c r="D6" s="118">
        <v>1</v>
      </c>
      <c r="E6" s="118">
        <v>1</v>
      </c>
      <c r="F6" s="118">
        <v>1</v>
      </c>
      <c r="G6" s="118">
        <v>1</v>
      </c>
      <c r="H6" s="118">
        <v>1</v>
      </c>
      <c r="I6" s="118">
        <v>1</v>
      </c>
      <c r="J6" s="118">
        <v>1</v>
      </c>
      <c r="K6" s="118">
        <v>1</v>
      </c>
      <c r="L6" s="118">
        <v>1</v>
      </c>
      <c r="M6" s="118">
        <v>1</v>
      </c>
      <c r="N6" s="118">
        <v>1</v>
      </c>
      <c r="O6" s="118">
        <v>1</v>
      </c>
      <c r="P6" s="118">
        <v>1</v>
      </c>
      <c r="Q6" s="118">
        <v>1</v>
      </c>
      <c r="R6" s="118">
        <v>1</v>
      </c>
    </row>
    <row r="7" spans="1:19">
      <c r="A7" s="26" t="s">
        <v>306</v>
      </c>
      <c r="B7" s="31" t="str">
        <f>'11.Charges'!B32</f>
        <v>Carburant</v>
      </c>
      <c r="C7" s="31" t="str">
        <f>'11.Charges'!C32</f>
        <v>FT1</v>
      </c>
      <c r="D7" s="118">
        <v>1</v>
      </c>
      <c r="E7" s="118">
        <v>1</v>
      </c>
      <c r="F7" s="118">
        <v>1</v>
      </c>
      <c r="G7" s="118">
        <v>1</v>
      </c>
      <c r="H7" s="118">
        <v>1</v>
      </c>
      <c r="I7" s="118">
        <v>1</v>
      </c>
      <c r="J7" s="118">
        <v>1</v>
      </c>
      <c r="K7" s="118">
        <v>1</v>
      </c>
      <c r="L7" s="118">
        <v>1</v>
      </c>
      <c r="M7" s="118">
        <v>1</v>
      </c>
      <c r="N7" s="118">
        <v>1</v>
      </c>
      <c r="O7" s="118">
        <v>1</v>
      </c>
      <c r="P7" s="118">
        <v>1</v>
      </c>
      <c r="Q7" s="118">
        <v>1</v>
      </c>
      <c r="R7" s="118">
        <v>1</v>
      </c>
    </row>
    <row r="8" spans="1:19">
      <c r="A8" s="26" t="s">
        <v>309</v>
      </c>
      <c r="B8" s="31" t="str">
        <f>'11.Charges'!B33</f>
        <v>Telephone / Internet</v>
      </c>
      <c r="C8" s="31" t="str">
        <f>'11.Charges'!C33</f>
        <v>MKT2</v>
      </c>
      <c r="D8" s="118">
        <v>1</v>
      </c>
      <c r="E8" s="118">
        <v>1</v>
      </c>
      <c r="F8" s="118">
        <v>1</v>
      </c>
      <c r="G8" s="118">
        <v>1</v>
      </c>
      <c r="H8" s="118">
        <v>1</v>
      </c>
      <c r="I8" s="118">
        <v>1</v>
      </c>
      <c r="J8" s="118">
        <v>1</v>
      </c>
      <c r="K8" s="118">
        <v>1</v>
      </c>
      <c r="L8" s="118">
        <v>1</v>
      </c>
      <c r="M8" s="118">
        <v>1</v>
      </c>
      <c r="N8" s="118">
        <v>1</v>
      </c>
      <c r="O8" s="118">
        <v>1</v>
      </c>
      <c r="P8" s="118">
        <v>1</v>
      </c>
      <c r="Q8" s="118">
        <v>1</v>
      </c>
      <c r="R8" s="118">
        <v>1</v>
      </c>
    </row>
    <row r="9" spans="1:19">
      <c r="A9" s="26" t="s">
        <v>312</v>
      </c>
      <c r="B9" s="31">
        <f>'11.Charges'!B34</f>
        <v/>
      </c>
      <c r="C9" s="31" t="str">
        <f>'11.Charges'!C34</f>
        <v>FKT3</v>
      </c>
      <c r="D9" s="118">
        <v>1</v>
      </c>
      <c r="E9" s="118">
        <v>1</v>
      </c>
      <c r="F9" s="118">
        <v>1</v>
      </c>
      <c r="G9" s="118">
        <v>1</v>
      </c>
      <c r="H9" s="118">
        <v>1</v>
      </c>
      <c r="I9" s="118">
        <v>1</v>
      </c>
      <c r="J9" s="118">
        <v>1</v>
      </c>
      <c r="K9" s="118">
        <v>1</v>
      </c>
      <c r="L9" s="118">
        <v>1</v>
      </c>
      <c r="M9" s="118">
        <v>1</v>
      </c>
      <c r="N9" s="118">
        <v>1</v>
      </c>
      <c r="O9" s="118">
        <v>1</v>
      </c>
      <c r="P9" s="118">
        <v>1</v>
      </c>
      <c r="Q9" s="118">
        <v>1</v>
      </c>
      <c r="R9" s="118">
        <v>1</v>
      </c>
    </row>
    <row r="10" spans="1:19">
      <c r="A10" s="26" t="s">
        <v>314</v>
      </c>
      <c r="B10" s="31" t="str">
        <f>'11.Charges'!B35</f>
        <v>Loyer</v>
      </c>
      <c r="C10" s="31" t="str">
        <f>'11.Charges'!C35</f>
        <v>LOC1</v>
      </c>
      <c r="D10" s="118">
        <v>1</v>
      </c>
      <c r="E10" s="118">
        <v>1</v>
      </c>
      <c r="F10" s="118">
        <v>1</v>
      </c>
      <c r="G10" s="118">
        <v>1</v>
      </c>
      <c r="H10" s="118">
        <v>1</v>
      </c>
      <c r="I10" s="118">
        <v>1</v>
      </c>
      <c r="J10" s="118">
        <v>1</v>
      </c>
      <c r="K10" s="118">
        <v>1</v>
      </c>
      <c r="L10" s="118">
        <v>1</v>
      </c>
      <c r="M10" s="118">
        <v>1</v>
      </c>
      <c r="N10" s="118">
        <v>1</v>
      </c>
      <c r="O10" s="118">
        <v>1</v>
      </c>
      <c r="P10" s="118">
        <v>1</v>
      </c>
      <c r="Q10" s="118">
        <v>1</v>
      </c>
      <c r="R10" s="118">
        <v>1</v>
      </c>
    </row>
    <row r="11" spans="1:19">
      <c r="A11" s="26" t="s">
        <v>317</v>
      </c>
      <c r="B11" s="31" t="str">
        <f>'11.Charges'!B36</f>
        <v>Assurance voiture</v>
      </c>
      <c r="C11" s="31" t="str">
        <f>'11.Charges'!C36</f>
        <v>ASS1</v>
      </c>
      <c r="D11" s="118">
        <v>1</v>
      </c>
      <c r="E11" s="118">
        <v>1</v>
      </c>
      <c r="F11" s="118">
        <v>1</v>
      </c>
      <c r="G11" s="118">
        <v>1</v>
      </c>
      <c r="H11" s="118">
        <v>1</v>
      </c>
      <c r="I11" s="118">
        <v>1</v>
      </c>
      <c r="J11" s="118">
        <v>1</v>
      </c>
      <c r="K11" s="118">
        <v>1</v>
      </c>
      <c r="L11" s="118">
        <v>1</v>
      </c>
      <c r="M11" s="118">
        <v>1</v>
      </c>
      <c r="N11" s="118">
        <v>1</v>
      </c>
      <c r="O11" s="118">
        <v>1</v>
      </c>
      <c r="P11" s="118">
        <v>1</v>
      </c>
      <c r="Q11" s="118">
        <v>1</v>
      </c>
      <c r="R11" s="118">
        <v>1</v>
      </c>
    </row>
    <row r="12" spans="1:19">
      <c r="A12" s="26" t="s">
        <v>320</v>
      </c>
      <c r="B12" s="31" t="str">
        <f>'11.Charges'!B37</f>
        <v>Frais Infogérance</v>
      </c>
      <c r="C12" s="31" t="str">
        <f>'11.Charges'!C37</f>
        <v>PH1</v>
      </c>
      <c r="D12" s="118">
        <v>1</v>
      </c>
      <c r="E12" s="118"/>
      <c r="F12" s="118"/>
      <c r="G12" s="118"/>
      <c r="H12" s="118"/>
      <c r="I12" s="118"/>
      <c r="J12" s="118"/>
      <c r="K12" s="118"/>
      <c r="L12" s="118"/>
      <c r="M12" s="118"/>
      <c r="N12" s="118"/>
      <c r="O12" s="118"/>
      <c r="P12" s="118">
        <v>1</v>
      </c>
      <c r="Q12" s="118">
        <v>1</v>
      </c>
      <c r="R12" s="118">
        <v>1</v>
      </c>
    </row>
    <row r="13" spans="1:19">
      <c r="A13" s="26" t="s">
        <v>323</v>
      </c>
      <c r="B13" s="31">
        <f>'11.Charges'!B38</f>
        <v/>
      </c>
      <c r="C13" s="31" t="str">
        <f>'11.Charges'!C38</f>
        <v>APR1</v>
      </c>
      <c r="D13" s="118">
        <v>1</v>
      </c>
      <c r="E13" s="118"/>
      <c r="F13" s="118"/>
      <c r="G13" s="118"/>
      <c r="H13" s="118"/>
      <c r="I13" s="118"/>
      <c r="J13" s="118"/>
      <c r="K13" s="118"/>
      <c r="L13" s="118"/>
      <c r="M13" s="118"/>
      <c r="N13" s="118"/>
      <c r="O13" s="118"/>
      <c r="P13" s="118">
        <v>1</v>
      </c>
      <c r="Q13" s="118">
        <v>1</v>
      </c>
      <c r="R13" s="118">
        <v>1</v>
      </c>
    </row>
    <row r="14" spans="1:19">
      <c r="A14" s="26" t="s">
        <v>325</v>
      </c>
      <c r="B14" s="31">
        <f>'11.Charges'!B39</f>
        <v/>
      </c>
      <c r="C14" s="31" t="str">
        <f>'11.Charges'!C39</f>
        <v>AMR2</v>
      </c>
      <c r="D14" s="118"/>
      <c r="E14" s="118"/>
      <c r="F14" s="118"/>
      <c r="G14" s="118"/>
      <c r="H14" s="118"/>
      <c r="I14" s="118"/>
      <c r="J14" s="118"/>
      <c r="K14" s="118"/>
      <c r="L14" s="118"/>
      <c r="M14" s="118"/>
      <c r="N14" s="118"/>
      <c r="O14" s="118">
        <v>1</v>
      </c>
      <c r="P14" s="118">
        <v>1</v>
      </c>
      <c r="Q14" s="118">
        <v>1</v>
      </c>
      <c r="R14" s="118">
        <v>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C00000"/>
    <outlinePr summaryBelow="1" summaryRight="1"/>
  </sheetPr>
  <dimension ref="A1:S14"/>
  <sheetViews>
    <sheetView tabSelected="0" workbookViewId="0" showGridLines="true" showRowColHeaders="1">
      <selection activeCell="R4" sqref="R4"/>
    </sheetView>
  </sheetViews>
  <sheetFormatPr defaultRowHeight="14.4" defaultColWidth="10.83203125" outlineLevelRow="0" outlineLevelCol="0"/>
  <cols>
    <col min="1" max="1" width="21.83203125" customWidth="true" style="24"/>
    <col min="2" max="2" width="7" customWidth="true" style="24"/>
    <col min="3" max="3" width="7" customWidth="true" style="24"/>
    <col min="4" max="4" width="8.83203125" customWidth="true" style="24"/>
    <col min="5" max="5" width="7.33203125" customWidth="true" style="24"/>
    <col min="6" max="6" width="7.33203125" customWidth="true" style="24"/>
    <col min="7" max="7" width="7.33203125" customWidth="true" style="24"/>
    <col min="8" max="8" width="7.33203125" customWidth="true" style="24"/>
    <col min="9" max="9" width="7.33203125" customWidth="true" style="24"/>
    <col min="10" max="10" width="7.33203125" customWidth="true" style="24"/>
    <col min="11" max="11" width="7.33203125" customWidth="true" style="24"/>
    <col min="12" max="12" width="7.33203125" customWidth="true" style="24"/>
    <col min="13" max="13" width="7.33203125" customWidth="true" style="24"/>
    <col min="14" max="14" width="7.33203125" customWidth="true" style="24"/>
    <col min="15" max="15" width="7.33203125" customWidth="true" style="24"/>
    <col min="16" max="16" width="8.83203125" customWidth="true" style="24"/>
    <col min="17" max="17" width="8.83203125" customWidth="true" style="24"/>
    <col min="18" max="18" width="8.83203125" customWidth="true" style="24"/>
    <col min="19" max="19" width="10.83203125" style="24"/>
  </cols>
  <sheetData>
    <row r="1" spans="1:19" customHeight="1" ht="14">
      <c r="A1" s="124" t="s">
        <v>330</v>
      </c>
    </row>
    <row r="2" spans="1:19">
      <c r="D2" s="30" t="s">
        <v>331</v>
      </c>
      <c r="E2" s="30"/>
      <c r="F2" s="30"/>
      <c r="G2" s="30"/>
      <c r="H2" s="30"/>
      <c r="I2" s="30"/>
      <c r="J2" s="30"/>
      <c r="K2" s="30"/>
      <c r="L2" s="30"/>
      <c r="M2" s="30"/>
      <c r="N2" s="30"/>
      <c r="O2" s="30"/>
      <c r="P2" s="32" t="s">
        <v>332</v>
      </c>
      <c r="Q2" s="32"/>
      <c r="R2" s="32"/>
    </row>
    <row r="3" spans="1:19">
      <c r="A3" s="27" t="s">
        <v>254</v>
      </c>
      <c r="B3" s="33" t="s">
        <v>333</v>
      </c>
      <c r="C3" s="33" t="s">
        <v>240</v>
      </c>
      <c r="D3" s="33">
        <v>1</v>
      </c>
      <c r="E3" s="33">
        <v>2</v>
      </c>
      <c r="F3" s="33">
        <v>3</v>
      </c>
      <c r="G3" s="33">
        <v>4</v>
      </c>
      <c r="H3" s="33">
        <v>5</v>
      </c>
      <c r="I3" s="33">
        <v>6</v>
      </c>
      <c r="J3" s="33">
        <v>7</v>
      </c>
      <c r="K3" s="33">
        <v>8</v>
      </c>
      <c r="L3" s="33">
        <v>9</v>
      </c>
      <c r="M3" s="33">
        <v>10</v>
      </c>
      <c r="N3" s="33">
        <v>11</v>
      </c>
      <c r="O3" s="33">
        <v>12</v>
      </c>
      <c r="P3" s="34" t="s">
        <v>144</v>
      </c>
      <c r="Q3" s="34" t="s">
        <v>88</v>
      </c>
      <c r="R3" s="34" t="s">
        <v>89</v>
      </c>
    </row>
    <row r="4" spans="1:19">
      <c r="A4" s="26" t="str">
        <f>'11.Charges'!A29</f>
        <v>Action commerciale</v>
      </c>
      <c r="B4" s="26" t="str">
        <f>'11.Charges'!B29</f>
        <v>Sponsoring page réseaux sociaux</v>
      </c>
      <c r="C4" s="26" t="str">
        <f>'11.Charges'!C29</f>
        <v>MKT1</v>
      </c>
      <c r="D4" s="31">
        <f>'11.Charges'!$D29*'11.Charges'!$E29*'13.Var.Char.Ind'!D4</f>
        <v>1900000</v>
      </c>
      <c r="E4" s="31">
        <f>'11.Charges'!$D29*'11.Charges'!$E29*'13.Var.Char.Ind'!E4</f>
        <v>0</v>
      </c>
      <c r="F4" s="31">
        <f>'11.Charges'!$D29*'11.Charges'!$E29*'13.Var.Char.Ind'!F4</f>
        <v>0</v>
      </c>
      <c r="G4" s="31">
        <f>'11.Charges'!$D29*'11.Charges'!$E29*'13.Var.Char.Ind'!G4</f>
        <v>0</v>
      </c>
      <c r="H4" s="31">
        <f>'11.Charges'!$D29*'11.Charges'!$E29*'13.Var.Char.Ind'!H4</f>
        <v>0</v>
      </c>
      <c r="I4" s="31">
        <f>'11.Charges'!$D29*'11.Charges'!$E29*'13.Var.Char.Ind'!I4</f>
        <v>0</v>
      </c>
      <c r="J4" s="31">
        <f>'11.Charges'!$D29*'11.Charges'!$E29*'13.Var.Char.Ind'!J4</f>
        <v>0</v>
      </c>
      <c r="K4" s="31">
        <f>'11.Charges'!$D29*'11.Charges'!$E29*'13.Var.Char.Ind'!K4</f>
        <v>0</v>
      </c>
      <c r="L4" s="31">
        <f>'11.Charges'!$D29*'11.Charges'!$E29*'13.Var.Char.Ind'!L4</f>
        <v>0</v>
      </c>
      <c r="M4" s="31">
        <f>'11.Charges'!$D29*'11.Charges'!$E29*'13.Var.Char.Ind'!M4</f>
        <v>0</v>
      </c>
      <c r="N4" s="31">
        <f>'11.Charges'!$D29*'11.Charges'!$E29*'13.Var.Char.Ind'!N4</f>
        <v>0</v>
      </c>
      <c r="O4" s="31">
        <f>'11.Charges'!$D29*'11.Charges'!$E29*'13.Var.Char.Ind'!O4</f>
        <v>0</v>
      </c>
      <c r="P4" s="31">
        <f>SUM(D4:O4)</f>
        <v>1900000</v>
      </c>
      <c r="Q4" s="31">
        <f>P4*'13.Var.Char.Ind'!Q4</f>
        <v>1900000</v>
      </c>
      <c r="R4" s="31">
        <f>Q4*'13.Var.Char.Ind'!R4</f>
        <v>1900000</v>
      </c>
    </row>
    <row r="5" spans="1:19">
      <c r="A5" s="26" t="str">
        <f>'11.Charges'!A30</f>
        <v>Frais Généraux </v>
      </c>
      <c r="B5" s="26" t="str">
        <f>'11.Charges'!B30</f>
        <v>Frais administration</v>
      </c>
      <c r="C5" s="26" t="str">
        <f>'11.Charges'!C30</f>
        <v>FG1</v>
      </c>
      <c r="D5" s="31">
        <f>'11.Charges'!$D30*'11.Charges'!$E30*'13.Var.Char.Ind'!D5</f>
        <v>25000</v>
      </c>
      <c r="E5" s="31">
        <f>'11.Charges'!$D30*'11.Charges'!$E30*'13.Var.Char.Ind'!E5</f>
        <v>25000</v>
      </c>
      <c r="F5" s="31">
        <f>'11.Charges'!$D30*'11.Charges'!$E30*'13.Var.Char.Ind'!F5</f>
        <v>25000</v>
      </c>
      <c r="G5" s="31">
        <f>'11.Charges'!$D30*'11.Charges'!$E30*'13.Var.Char.Ind'!G5</f>
        <v>25000</v>
      </c>
      <c r="H5" s="31">
        <f>'11.Charges'!$D30*'11.Charges'!$E30*'13.Var.Char.Ind'!H5</f>
        <v>25000</v>
      </c>
      <c r="I5" s="31">
        <f>'11.Charges'!$D30*'11.Charges'!$E30*'13.Var.Char.Ind'!I5</f>
        <v>25000</v>
      </c>
      <c r="J5" s="31">
        <f>'11.Charges'!$D30*'11.Charges'!$E30*'13.Var.Char.Ind'!J5</f>
        <v>25000</v>
      </c>
      <c r="K5" s="31">
        <f>'11.Charges'!$D30*'11.Charges'!$E30*'13.Var.Char.Ind'!K5</f>
        <v>25000</v>
      </c>
      <c r="L5" s="31">
        <f>'11.Charges'!$D30*'11.Charges'!$E30*'13.Var.Char.Ind'!L5</f>
        <v>25000</v>
      </c>
      <c r="M5" s="31">
        <f>'11.Charges'!$D30*'11.Charges'!$E30*'13.Var.Char.Ind'!M5</f>
        <v>25000</v>
      </c>
      <c r="N5" s="31">
        <f>'11.Charges'!$D30*'11.Charges'!$E30*'13.Var.Char.Ind'!N5</f>
        <v>25000</v>
      </c>
      <c r="O5" s="31">
        <f>'11.Charges'!$D30*'11.Charges'!$E30*'13.Var.Char.Ind'!O5</f>
        <v>25000</v>
      </c>
      <c r="P5" s="31">
        <f>SUM(D5:O5)</f>
        <v>300000</v>
      </c>
      <c r="Q5" s="31">
        <f>P5*'13.Var.Char.Ind'!Q5</f>
        <v>300000</v>
      </c>
      <c r="R5" s="31">
        <f>Q5*'13.Var.Char.Ind'!R5</f>
        <v>300000</v>
      </c>
    </row>
    <row r="6" spans="1:19">
      <c r="A6" s="26" t="str">
        <f>'11.Charges'!A31</f>
        <v>Energie/Electricité/ Eau</v>
      </c>
      <c r="B6" s="26" t="str">
        <f>'11.Charges'!B31</f>
        <v>Eau</v>
      </c>
      <c r="C6" s="26" t="str">
        <f>'11.Charges'!C31</f>
        <v>EEE1</v>
      </c>
      <c r="D6" s="31">
        <f>'11.Charges'!$D31*'11.Charges'!$E31*'13.Var.Char.Ind'!D6</f>
        <v>82500</v>
      </c>
      <c r="E6" s="31">
        <f>'11.Charges'!$D31*'11.Charges'!$E31*'13.Var.Char.Ind'!E6</f>
        <v>82500</v>
      </c>
      <c r="F6" s="31">
        <f>'11.Charges'!$D31*'11.Charges'!$E31*'13.Var.Char.Ind'!F6</f>
        <v>82500</v>
      </c>
      <c r="G6" s="31">
        <f>'11.Charges'!$D31*'11.Charges'!$E31*'13.Var.Char.Ind'!G6</f>
        <v>82500</v>
      </c>
      <c r="H6" s="31">
        <f>'11.Charges'!$D31*'11.Charges'!$E31*'13.Var.Char.Ind'!H6</f>
        <v>82500</v>
      </c>
      <c r="I6" s="31">
        <f>'11.Charges'!$D31*'11.Charges'!$E31*'13.Var.Char.Ind'!I6</f>
        <v>82500</v>
      </c>
      <c r="J6" s="31">
        <f>'11.Charges'!$D31*'11.Charges'!$E31*'13.Var.Char.Ind'!J6</f>
        <v>82500</v>
      </c>
      <c r="K6" s="31">
        <f>'11.Charges'!$D31*'11.Charges'!$E31*'13.Var.Char.Ind'!K6</f>
        <v>82500</v>
      </c>
      <c r="L6" s="31">
        <f>'11.Charges'!$D31*'11.Charges'!$E31*'13.Var.Char.Ind'!L6</f>
        <v>82500</v>
      </c>
      <c r="M6" s="31">
        <f>'11.Charges'!$D31*'11.Charges'!$E31*'13.Var.Char.Ind'!M6</f>
        <v>82500</v>
      </c>
      <c r="N6" s="31">
        <f>'11.Charges'!$D31*'11.Charges'!$E31*'13.Var.Char.Ind'!N6</f>
        <v>82500</v>
      </c>
      <c r="O6" s="31">
        <f>'11.Charges'!$D31*'11.Charges'!$E31*'13.Var.Char.Ind'!O6</f>
        <v>82500</v>
      </c>
      <c r="P6" s="31">
        <f>SUM(D6:O6)</f>
        <v>990000</v>
      </c>
      <c r="Q6" s="31">
        <f>P6*'13.Var.Char.Ind'!Q6</f>
        <v>990000</v>
      </c>
      <c r="R6" s="31">
        <f>Q6*'13.Var.Char.Ind'!R6</f>
        <v>990000</v>
      </c>
    </row>
    <row r="7" spans="1:19">
      <c r="A7" s="26" t="str">
        <f>'11.Charges'!A32</f>
        <v>Frais de transport </v>
      </c>
      <c r="B7" s="26" t="str">
        <f>'11.Charges'!B32</f>
        <v>Carburant</v>
      </c>
      <c r="C7" s="26" t="str">
        <f>'11.Charges'!C32</f>
        <v>FT1</v>
      </c>
      <c r="D7" s="31">
        <f>'11.Charges'!$D32*'11.Charges'!$E32*'13.Var.Char.Ind'!D7</f>
        <v>50000</v>
      </c>
      <c r="E7" s="31">
        <f>'11.Charges'!$D32*'11.Charges'!$E32*'13.Var.Char.Ind'!E7</f>
        <v>50000</v>
      </c>
      <c r="F7" s="31">
        <f>'11.Charges'!$D32*'11.Charges'!$E32*'13.Var.Char.Ind'!F7</f>
        <v>50000</v>
      </c>
      <c r="G7" s="31">
        <f>'11.Charges'!$D32*'11.Charges'!$E32*'13.Var.Char.Ind'!G7</f>
        <v>50000</v>
      </c>
      <c r="H7" s="31">
        <f>'11.Charges'!$D32*'11.Charges'!$E32*'13.Var.Char.Ind'!H7</f>
        <v>50000</v>
      </c>
      <c r="I7" s="31">
        <f>'11.Charges'!$D32*'11.Charges'!$E32*'13.Var.Char.Ind'!I7</f>
        <v>50000</v>
      </c>
      <c r="J7" s="31">
        <f>'11.Charges'!$D32*'11.Charges'!$E32*'13.Var.Char.Ind'!J7</f>
        <v>50000</v>
      </c>
      <c r="K7" s="31">
        <f>'11.Charges'!$D32*'11.Charges'!$E32*'13.Var.Char.Ind'!K7</f>
        <v>50000</v>
      </c>
      <c r="L7" s="31">
        <f>'11.Charges'!$D32*'11.Charges'!$E32*'13.Var.Char.Ind'!L7</f>
        <v>50000</v>
      </c>
      <c r="M7" s="31">
        <f>'11.Charges'!$D32*'11.Charges'!$E32*'13.Var.Char.Ind'!M7</f>
        <v>50000</v>
      </c>
      <c r="N7" s="31">
        <f>'11.Charges'!$D32*'11.Charges'!$E32*'13.Var.Char.Ind'!N7</f>
        <v>50000</v>
      </c>
      <c r="O7" s="31">
        <f>'11.Charges'!$D32*'11.Charges'!$E32*'13.Var.Char.Ind'!O7</f>
        <v>50000</v>
      </c>
      <c r="P7" s="31">
        <f>SUM(D7:O7)</f>
        <v>600000</v>
      </c>
      <c r="Q7" s="31">
        <f>P7*'13.Var.Char.Ind'!Q7</f>
        <v>600000</v>
      </c>
      <c r="R7" s="31">
        <f>Q7*'13.Var.Char.Ind'!R7</f>
        <v>600000</v>
      </c>
    </row>
    <row r="8" spans="1:19">
      <c r="A8" s="26" t="str">
        <f>'11.Charges'!A33</f>
        <v>Frais de communication</v>
      </c>
      <c r="B8" s="26" t="str">
        <f>'11.Charges'!B33</f>
        <v>Telephone / Internet</v>
      </c>
      <c r="C8" s="26" t="str">
        <f>'11.Charges'!C33</f>
        <v>MKT2</v>
      </c>
      <c r="D8" s="31">
        <f>'11.Charges'!$D33*'11.Charges'!$E33*'13.Var.Char.Ind'!D8</f>
        <v>50000</v>
      </c>
      <c r="E8" s="31">
        <f>'11.Charges'!$D33*'11.Charges'!$E33*'13.Var.Char.Ind'!E8</f>
        <v>50000</v>
      </c>
      <c r="F8" s="31">
        <f>'11.Charges'!$D33*'11.Charges'!$E33*'13.Var.Char.Ind'!F8</f>
        <v>50000</v>
      </c>
      <c r="G8" s="31">
        <f>'11.Charges'!$D33*'11.Charges'!$E33*'13.Var.Char.Ind'!G8</f>
        <v>50000</v>
      </c>
      <c r="H8" s="31">
        <f>'11.Charges'!$D33*'11.Charges'!$E33*'13.Var.Char.Ind'!H8</f>
        <v>50000</v>
      </c>
      <c r="I8" s="31">
        <f>'11.Charges'!$D33*'11.Charges'!$E33*'13.Var.Char.Ind'!I8</f>
        <v>50000</v>
      </c>
      <c r="J8" s="31">
        <f>'11.Charges'!$D33*'11.Charges'!$E33*'13.Var.Char.Ind'!J8</f>
        <v>50000</v>
      </c>
      <c r="K8" s="31">
        <f>'11.Charges'!$D33*'11.Charges'!$E33*'13.Var.Char.Ind'!K8</f>
        <v>50000</v>
      </c>
      <c r="L8" s="31">
        <f>'11.Charges'!$D33*'11.Charges'!$E33*'13.Var.Char.Ind'!L8</f>
        <v>50000</v>
      </c>
      <c r="M8" s="31">
        <f>'11.Charges'!$D33*'11.Charges'!$E33*'13.Var.Char.Ind'!M8</f>
        <v>50000</v>
      </c>
      <c r="N8" s="31">
        <f>'11.Charges'!$D33*'11.Charges'!$E33*'13.Var.Char.Ind'!N8</f>
        <v>50000</v>
      </c>
      <c r="O8" s="31">
        <f>'11.Charges'!$D33*'11.Charges'!$E33*'13.Var.Char.Ind'!O8</f>
        <v>50000</v>
      </c>
      <c r="P8" s="31">
        <f>SUM(D8:O8)</f>
        <v>600000</v>
      </c>
      <c r="Q8" s="31">
        <f>P8*'13.Var.Char.Ind'!Q8</f>
        <v>600000</v>
      </c>
      <c r="R8" s="31">
        <f>Q8*'13.Var.Char.Ind'!R8</f>
        <v>600000</v>
      </c>
    </row>
    <row r="9" spans="1:19">
      <c r="A9" s="26" t="str">
        <f>'11.Charges'!A34</f>
        <v>Publicité et Marketing </v>
      </c>
      <c r="B9" s="26">
        <f>'11.Charges'!B34</f>
        <v/>
      </c>
      <c r="C9" s="26" t="str">
        <f>'11.Charges'!C34</f>
        <v>FKT3</v>
      </c>
      <c r="D9" s="31">
        <f>'11.Charges'!$D34*'11.Charges'!$E34*'13.Var.Char.Ind'!D9</f>
        <v>0</v>
      </c>
      <c r="E9" s="31">
        <f>'11.Charges'!$D34*'11.Charges'!$E34*'13.Var.Char.Ind'!E9</f>
        <v>0</v>
      </c>
      <c r="F9" s="31">
        <f>'11.Charges'!$D34*'11.Charges'!$E34*'13.Var.Char.Ind'!F9</f>
        <v>0</v>
      </c>
      <c r="G9" s="31">
        <f>'11.Charges'!$D34*'11.Charges'!$E34*'13.Var.Char.Ind'!G9</f>
        <v>0</v>
      </c>
      <c r="H9" s="31">
        <f>'11.Charges'!$D34*'11.Charges'!$E34*'13.Var.Char.Ind'!H9</f>
        <v>0</v>
      </c>
      <c r="I9" s="31">
        <f>'11.Charges'!$D34*'11.Charges'!$E34*'13.Var.Char.Ind'!I9</f>
        <v>0</v>
      </c>
      <c r="J9" s="31">
        <f>'11.Charges'!$D34*'11.Charges'!$E34*'13.Var.Char.Ind'!J9</f>
        <v>0</v>
      </c>
      <c r="K9" s="31">
        <f>'11.Charges'!$D34*'11.Charges'!$E34*'13.Var.Char.Ind'!K9</f>
        <v>0</v>
      </c>
      <c r="L9" s="31">
        <f>'11.Charges'!$D34*'11.Charges'!$E34*'13.Var.Char.Ind'!L9</f>
        <v>0</v>
      </c>
      <c r="M9" s="31">
        <f>'11.Charges'!$D34*'11.Charges'!$E34*'13.Var.Char.Ind'!M9</f>
        <v>0</v>
      </c>
      <c r="N9" s="31">
        <f>'11.Charges'!$D34*'11.Charges'!$E34*'13.Var.Char.Ind'!N9</f>
        <v>0</v>
      </c>
      <c r="O9" s="31">
        <f>'11.Charges'!$D34*'11.Charges'!$E34*'13.Var.Char.Ind'!O9</f>
        <v>0</v>
      </c>
      <c r="P9" s="31">
        <f>SUM(D9:O9)</f>
        <v>0</v>
      </c>
      <c r="Q9" s="31">
        <f>P9*'13.Var.Char.Ind'!Q9</f>
        <v>0</v>
      </c>
      <c r="R9" s="31">
        <f>Q9*'13.Var.Char.Ind'!R9</f>
        <v>0</v>
      </c>
    </row>
    <row r="10" spans="1:19">
      <c r="A10" s="26" t="str">
        <f>'11.Charges'!A35</f>
        <v>Location</v>
      </c>
      <c r="B10" s="26" t="str">
        <f>'11.Charges'!B35</f>
        <v>Loyer</v>
      </c>
      <c r="C10" s="26" t="str">
        <f>'11.Charges'!C35</f>
        <v>LOC1</v>
      </c>
      <c r="D10" s="31">
        <f>'11.Charges'!$D35*'11.Charges'!$E35*'13.Var.Char.Ind'!D10</f>
        <v>250000</v>
      </c>
      <c r="E10" s="31">
        <f>'11.Charges'!$D35*'11.Charges'!$E35*'13.Var.Char.Ind'!E10</f>
        <v>250000</v>
      </c>
      <c r="F10" s="31">
        <f>'11.Charges'!$D35*'11.Charges'!$E35*'13.Var.Char.Ind'!F10</f>
        <v>250000</v>
      </c>
      <c r="G10" s="31">
        <f>'11.Charges'!$D35*'11.Charges'!$E35*'13.Var.Char.Ind'!G10</f>
        <v>250000</v>
      </c>
      <c r="H10" s="31">
        <f>'11.Charges'!$D35*'11.Charges'!$E35*'13.Var.Char.Ind'!H10</f>
        <v>250000</v>
      </c>
      <c r="I10" s="31">
        <f>'11.Charges'!$D35*'11.Charges'!$E35*'13.Var.Char.Ind'!I10</f>
        <v>250000</v>
      </c>
      <c r="J10" s="31">
        <f>'11.Charges'!$D35*'11.Charges'!$E35*'13.Var.Char.Ind'!J10</f>
        <v>250000</v>
      </c>
      <c r="K10" s="31">
        <f>'11.Charges'!$D35*'11.Charges'!$E35*'13.Var.Char.Ind'!K10</f>
        <v>250000</v>
      </c>
      <c r="L10" s="31">
        <f>'11.Charges'!$D35*'11.Charges'!$E35*'13.Var.Char.Ind'!L10</f>
        <v>250000</v>
      </c>
      <c r="M10" s="31">
        <f>'11.Charges'!$D35*'11.Charges'!$E35*'13.Var.Char.Ind'!M10</f>
        <v>250000</v>
      </c>
      <c r="N10" s="31">
        <f>'11.Charges'!$D35*'11.Charges'!$E35*'13.Var.Char.Ind'!N10</f>
        <v>250000</v>
      </c>
      <c r="O10" s="31">
        <f>'11.Charges'!$D35*'11.Charges'!$E35*'13.Var.Char.Ind'!O10</f>
        <v>250000</v>
      </c>
      <c r="P10" s="31">
        <f>SUM(D10:O10)</f>
        <v>3000000</v>
      </c>
      <c r="Q10" s="31">
        <f>P10*'13.Var.Char.Ind'!Q10</f>
        <v>3000000</v>
      </c>
      <c r="R10" s="31">
        <f>Q10*'13.Var.Char.Ind'!R10</f>
        <v>3000000</v>
      </c>
    </row>
    <row r="11" spans="1:19">
      <c r="A11" s="26" t="str">
        <f>'11.Charges'!A36</f>
        <v>Assurance</v>
      </c>
      <c r="B11" s="26" t="str">
        <f>'11.Charges'!B36</f>
        <v>Assurance voiture</v>
      </c>
      <c r="C11" s="26" t="str">
        <f>'11.Charges'!C36</f>
        <v>ASS1</v>
      </c>
      <c r="D11" s="31">
        <f>'11.Charges'!$D36*'11.Charges'!$E36*'13.Var.Char.Ind'!D11</f>
        <v>12000</v>
      </c>
      <c r="E11" s="31">
        <f>'11.Charges'!$D36*'11.Charges'!$E36*'13.Var.Char.Ind'!E11</f>
        <v>12000</v>
      </c>
      <c r="F11" s="31">
        <f>'11.Charges'!$D36*'11.Charges'!$E36*'13.Var.Char.Ind'!F11</f>
        <v>12000</v>
      </c>
      <c r="G11" s="31">
        <f>'11.Charges'!$D36*'11.Charges'!$E36*'13.Var.Char.Ind'!G11</f>
        <v>12000</v>
      </c>
      <c r="H11" s="31">
        <f>'11.Charges'!$D36*'11.Charges'!$E36*'13.Var.Char.Ind'!H11</f>
        <v>12000</v>
      </c>
      <c r="I11" s="31">
        <f>'11.Charges'!$D36*'11.Charges'!$E36*'13.Var.Char.Ind'!I11</f>
        <v>12000</v>
      </c>
      <c r="J11" s="31">
        <f>'11.Charges'!$D36*'11.Charges'!$E36*'13.Var.Char.Ind'!J11</f>
        <v>12000</v>
      </c>
      <c r="K11" s="31">
        <f>'11.Charges'!$D36*'11.Charges'!$E36*'13.Var.Char.Ind'!K11</f>
        <v>12000</v>
      </c>
      <c r="L11" s="31">
        <f>'11.Charges'!$D36*'11.Charges'!$E36*'13.Var.Char.Ind'!L11</f>
        <v>12000</v>
      </c>
      <c r="M11" s="31">
        <f>'11.Charges'!$D36*'11.Charges'!$E36*'13.Var.Char.Ind'!M11</f>
        <v>12000</v>
      </c>
      <c r="N11" s="31">
        <f>'11.Charges'!$D36*'11.Charges'!$E36*'13.Var.Char.Ind'!N11</f>
        <v>12000</v>
      </c>
      <c r="O11" s="31">
        <f>'11.Charges'!$D36*'11.Charges'!$E36*'13.Var.Char.Ind'!O11</f>
        <v>12000</v>
      </c>
      <c r="P11" s="31">
        <f>SUM(D11:O11)</f>
        <v>144000</v>
      </c>
      <c r="Q11" s="31">
        <f>P11*'13.Var.Char.Ind'!Q11</f>
        <v>144000</v>
      </c>
      <c r="R11" s="31">
        <f>Q11*'13.Var.Char.Ind'!R11</f>
        <v>144000</v>
      </c>
    </row>
    <row r="12" spans="1:19">
      <c r="A12" s="26" t="str">
        <f>'11.Charges'!A37</f>
        <v>Prestations et Honoraires </v>
      </c>
      <c r="B12" s="26" t="str">
        <f>'11.Charges'!B37</f>
        <v>Frais Infogérance</v>
      </c>
      <c r="C12" s="26" t="str">
        <f>'11.Charges'!C37</f>
        <v>PH1</v>
      </c>
      <c r="D12" s="31">
        <f>'11.Charges'!$D37*'11.Charges'!$E37*'13.Var.Char.Ind'!D12</f>
        <v>380000</v>
      </c>
      <c r="E12" s="31">
        <f>'11.Charges'!$D37*'11.Charges'!$E37*'13.Var.Char.Ind'!E12</f>
        <v>0</v>
      </c>
      <c r="F12" s="31">
        <f>'11.Charges'!$D37*'11.Charges'!$E37*'13.Var.Char.Ind'!F12</f>
        <v>0</v>
      </c>
      <c r="G12" s="31">
        <f>'11.Charges'!$D37*'11.Charges'!$E37*'13.Var.Char.Ind'!G12</f>
        <v>0</v>
      </c>
      <c r="H12" s="31">
        <f>'11.Charges'!$D37*'11.Charges'!$E37*'13.Var.Char.Ind'!H12</f>
        <v>0</v>
      </c>
      <c r="I12" s="31">
        <f>'11.Charges'!$D37*'11.Charges'!$E37*'13.Var.Char.Ind'!I12</f>
        <v>0</v>
      </c>
      <c r="J12" s="31">
        <f>'11.Charges'!$D37*'11.Charges'!$E37*'13.Var.Char.Ind'!J12</f>
        <v>0</v>
      </c>
      <c r="K12" s="31">
        <f>'11.Charges'!$D37*'11.Charges'!$E37*'13.Var.Char.Ind'!K12</f>
        <v>0</v>
      </c>
      <c r="L12" s="31">
        <f>'11.Charges'!$D37*'11.Charges'!$E37*'13.Var.Char.Ind'!L12</f>
        <v>0</v>
      </c>
      <c r="M12" s="31">
        <f>'11.Charges'!$D37*'11.Charges'!$E37*'13.Var.Char.Ind'!M12</f>
        <v>0</v>
      </c>
      <c r="N12" s="31">
        <f>'11.Charges'!$D37*'11.Charges'!$E37*'13.Var.Char.Ind'!N12</f>
        <v>0</v>
      </c>
      <c r="O12" s="31">
        <f>'11.Charges'!$D37*'11.Charges'!$E37*'13.Var.Char.Ind'!O12</f>
        <v>0</v>
      </c>
      <c r="P12" s="31">
        <f>SUM(D12:O12)</f>
        <v>380000</v>
      </c>
      <c r="Q12" s="31">
        <f>P12*'13.Var.Char.Ind'!Q12</f>
        <v>380000</v>
      </c>
      <c r="R12" s="31">
        <f>Q12*'13.Var.Char.Ind'!R12</f>
        <v>380000</v>
      </c>
    </row>
    <row r="13" spans="1:19">
      <c r="A13" s="26" t="str">
        <f>'11.Charges'!A38</f>
        <v>Autres provisions </v>
      </c>
      <c r="B13" s="26">
        <f>'11.Charges'!B38</f>
        <v/>
      </c>
      <c r="C13" s="26" t="str">
        <f>'11.Charges'!C38</f>
        <v>APR1</v>
      </c>
      <c r="D13" s="31">
        <f>'11.Charges'!$D38*'11.Charges'!$E38*'13.Var.Char.Ind'!D13</f>
        <v>0</v>
      </c>
      <c r="E13" s="31">
        <f>'11.Charges'!$D38*'11.Charges'!$E38*'13.Var.Char.Ind'!E13</f>
        <v>0</v>
      </c>
      <c r="F13" s="31">
        <f>'11.Charges'!$D38*'11.Charges'!$E38*'13.Var.Char.Ind'!F13</f>
        <v>0</v>
      </c>
      <c r="G13" s="31">
        <f>'11.Charges'!$D38*'11.Charges'!$E38*'13.Var.Char.Ind'!G13</f>
        <v>0</v>
      </c>
      <c r="H13" s="31">
        <f>'11.Charges'!$D38*'11.Charges'!$E38*'13.Var.Char.Ind'!H13</f>
        <v>0</v>
      </c>
      <c r="I13" s="31">
        <f>'11.Charges'!$D38*'11.Charges'!$E38*'13.Var.Char.Ind'!I13</f>
        <v>0</v>
      </c>
      <c r="J13" s="31">
        <f>'11.Charges'!$D38*'11.Charges'!$E38*'13.Var.Char.Ind'!J13</f>
        <v>0</v>
      </c>
      <c r="K13" s="31">
        <f>'11.Charges'!$D38*'11.Charges'!$E38*'13.Var.Char.Ind'!K13</f>
        <v>0</v>
      </c>
      <c r="L13" s="31">
        <f>'11.Charges'!$D38*'11.Charges'!$E38*'13.Var.Char.Ind'!L13</f>
        <v>0</v>
      </c>
      <c r="M13" s="31">
        <f>'11.Charges'!$D38*'11.Charges'!$E38*'13.Var.Char.Ind'!M13</f>
        <v>0</v>
      </c>
      <c r="N13" s="31">
        <f>'11.Charges'!$D38*'11.Charges'!$E38*'13.Var.Char.Ind'!N13</f>
        <v>0</v>
      </c>
      <c r="O13" s="31">
        <f>'11.Charges'!$D38*'11.Charges'!$E38*'13.Var.Char.Ind'!O13</f>
        <v>0</v>
      </c>
      <c r="P13" s="31">
        <f>SUM(D13:O13)</f>
        <v>0</v>
      </c>
      <c r="Q13" s="31">
        <f>P13*'13.Var.Char.Ind'!Q13</f>
        <v>0</v>
      </c>
      <c r="R13" s="31">
        <f>Q13*'13.Var.Char.Ind'!R13</f>
        <v>0</v>
      </c>
    </row>
    <row r="14" spans="1:19">
      <c r="A14" s="26" t="str">
        <f>'11.Charges'!A39</f>
        <v>Amortissement Bureau</v>
      </c>
      <c r="B14" s="26">
        <f>'11.Charges'!B39</f>
        <v/>
      </c>
      <c r="C14" s="26" t="str">
        <f>'11.Charges'!C39</f>
        <v>AMR2</v>
      </c>
      <c r="D14" s="31">
        <f>'11.Charges'!$D39*'11.Charges'!$E39*'13.Var.Char.Ind'!D14*'7.Bud.Inv.'!E22</f>
        <v>0</v>
      </c>
      <c r="E14" s="31">
        <f>'11.Charges'!$D39*'11.Charges'!$E39*'13.Var.Char.Ind'!E14*'7.Bud.Inv.'!F22</f>
        <v>0</v>
      </c>
      <c r="F14" s="31">
        <f>'11.Charges'!$D39*'11.Charges'!$E39*'13.Var.Char.Ind'!F14*'7.Bud.Inv.'!G22</f>
        <v>0</v>
      </c>
      <c r="G14" s="31">
        <f>'11.Charges'!$D39*'11.Charges'!$E39*'13.Var.Char.Ind'!G14*'7.Bud.Inv.'!H22</f>
        <v>0</v>
      </c>
      <c r="H14" s="31">
        <f>'11.Charges'!$D39*'11.Charges'!$E39*'13.Var.Char.Ind'!H14*'7.Bud.Inv.'!I22</f>
        <v>0</v>
      </c>
      <c r="I14" s="31">
        <f>'11.Charges'!$D39*'11.Charges'!$E39*'13.Var.Char.Ind'!I14*'7.Bud.Inv.'!J22</f>
        <v>0</v>
      </c>
      <c r="J14" s="31">
        <f>'11.Charges'!$D39*'11.Charges'!$E39*'13.Var.Char.Ind'!J14*'7.Bud.Inv.'!K22</f>
        <v>0</v>
      </c>
      <c r="K14" s="31">
        <f>'11.Charges'!$D39*'11.Charges'!$E39*'13.Var.Char.Ind'!K14*'7.Bud.Inv.'!L22</f>
        <v>0</v>
      </c>
      <c r="L14" s="31">
        <f>'11.Charges'!$D39*'11.Charges'!$E39*'13.Var.Char.Ind'!L14*'7.Bud.Inv.'!M22</f>
        <v>0</v>
      </c>
      <c r="M14" s="31">
        <f>'11.Charges'!$D39*'11.Charges'!$E39*'13.Var.Char.Ind'!M14*'7.Bud.Inv.'!N22</f>
        <v>0</v>
      </c>
      <c r="N14" s="31">
        <f>'11.Charges'!$D39*'11.Charges'!$E39*'13.Var.Char.Ind'!N14*'7.Bud.Inv.'!O22</f>
        <v>0</v>
      </c>
      <c r="O14" s="31">
        <f>'11.Charges'!$D39*'11.Charges'!$E39*'13.Var.Char.Ind'!O14*'7.Bud.Inv.'!P22</f>
        <v>0</v>
      </c>
      <c r="P14" s="31">
        <f>'11.Charges'!$D39*'11.Charges'!$E39*'13.Var.Char.Ind'!P14</f>
        <v>0</v>
      </c>
      <c r="Q14" s="31">
        <f>'11.Charges'!$D39*'11.Charges'!$E39*'13.Var.Char.Ind'!Q14*'7.Bud.Inv.'!R22+P14</f>
        <v>0</v>
      </c>
      <c r="R14" s="31">
        <f>'11.Charges'!$D39*'11.Charges'!$E39*'13.Var.Char.Ind'!R14*'7.Bud.Inv.'!S22+Q14</f>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7030A0"/>
    <outlinePr summaryBelow="1" summaryRight="1"/>
  </sheetPr>
  <dimension ref="A1:N26"/>
  <sheetViews>
    <sheetView tabSelected="0" workbookViewId="0" showGridLines="true" showRowColHeaders="1">
      <selection activeCell="C19" sqref="C19"/>
    </sheetView>
  </sheetViews>
  <sheetFormatPr defaultRowHeight="14.4" outlineLevelRow="0" outlineLevelCol="0"/>
  <cols>
    <col min="1" max="1" width="38.83203125" customWidth="true" style="0"/>
    <col min="2" max="2" width="5.1640625" customWidth="true" style="0"/>
    <col min="3" max="3" width="8.6640625" customWidth="true" style="0"/>
    <col min="4" max="4" width="8.6640625" customWidth="true" style="0"/>
    <col min="5" max="5" width="8.6640625" customWidth="true" style="0"/>
    <col min="6" max="6" width="8.6640625" customWidth="true" style="0"/>
    <col min="7" max="7" width="8.6640625" customWidth="true" style="0"/>
    <col min="8" max="8" width="8.6640625" customWidth="true" style="0"/>
    <col min="9" max="9" width="8.6640625" customWidth="true" style="0"/>
    <col min="10" max="10" width="8.6640625" customWidth="true" style="0"/>
    <col min="11" max="11" width="9.5" customWidth="true" style="0"/>
    <col min="12" max="12" width="9.5" customWidth="true" style="0"/>
    <col min="13" max="13" width="9.5" customWidth="true" style="0"/>
    <col min="14" max="14" width="9.5" customWidth="true" style="0"/>
  </cols>
  <sheetData>
    <row r="1" spans="1:14">
      <c r="A1" s="124" t="s">
        <v>335</v>
      </c>
      <c r="B1" s="124"/>
    </row>
    <row r="2" spans="1:14" customHeight="1" ht="16"/>
    <row r="3" spans="1:14" customHeight="1" ht="16">
      <c r="A3" s="41"/>
      <c r="B3" s="41"/>
      <c r="C3" s="42" t="s">
        <v>155</v>
      </c>
      <c r="D3" s="43"/>
      <c r="E3" s="43"/>
      <c r="F3" s="43"/>
      <c r="G3" s="43"/>
      <c r="H3" s="43"/>
      <c r="I3" s="43"/>
      <c r="J3" s="43"/>
      <c r="K3" s="43"/>
      <c r="L3" s="43"/>
      <c r="M3" s="43"/>
      <c r="N3" s="44"/>
    </row>
    <row r="4" spans="1:14" customHeight="1" ht="16">
      <c r="A4" s="45" t="s">
        <v>156</v>
      </c>
      <c r="B4" s="127"/>
      <c r="C4" s="46">
        <v>1</v>
      </c>
      <c r="D4" s="47">
        <v>2</v>
      </c>
      <c r="E4" s="47">
        <v>3</v>
      </c>
      <c r="F4" s="47">
        <v>4</v>
      </c>
      <c r="G4" s="47">
        <v>5</v>
      </c>
      <c r="H4" s="47">
        <v>6</v>
      </c>
      <c r="I4" s="47">
        <v>7</v>
      </c>
      <c r="J4" s="47">
        <v>8</v>
      </c>
      <c r="K4" s="47">
        <v>9</v>
      </c>
      <c r="L4" s="47">
        <v>10</v>
      </c>
      <c r="M4" s="47">
        <v>11</v>
      </c>
      <c r="N4" s="48">
        <v>12</v>
      </c>
    </row>
    <row r="5" spans="1:14" customHeight="1" ht="16">
      <c r="A5" s="49" t="s">
        <v>336</v>
      </c>
      <c r="B5" s="49" t="s">
        <v>240</v>
      </c>
      <c r="C5" s="50">
        <v>0</v>
      </c>
      <c r="D5" s="51">
        <f>C25</f>
        <v>550279.90884397</v>
      </c>
      <c r="E5" s="51">
        <f>D25</f>
        <v>-14491868.964687</v>
      </c>
      <c r="F5" s="51">
        <f>E25</f>
        <v>-17606682.838219</v>
      </c>
      <c r="G5" s="51">
        <f>F25</f>
        <v>-20721496.71175</v>
      </c>
      <c r="H5" s="51">
        <f>G25</f>
        <v>-23836310.585281</v>
      </c>
      <c r="I5" s="51">
        <f>H25</f>
        <v>-26951124.458813</v>
      </c>
      <c r="J5" s="51">
        <f>I25</f>
        <v>-30065938.332344</v>
      </c>
      <c r="K5" s="51">
        <f>J25</f>
        <v>-33180752.205876</v>
      </c>
      <c r="L5" s="51">
        <f>K25</f>
        <v>-36295566.079407</v>
      </c>
      <c r="M5" s="51">
        <f>L25</f>
        <v>-39410379.952938</v>
      </c>
      <c r="N5" s="52">
        <f>M25</f>
        <v>-42525193.82647</v>
      </c>
    </row>
    <row r="6" spans="1:14" customHeight="1" ht="16">
      <c r="A6" s="53" t="s">
        <v>158</v>
      </c>
      <c r="B6" s="53"/>
      <c r="C6" s="54"/>
      <c r="D6" s="55"/>
      <c r="E6" s="55"/>
      <c r="F6" s="55"/>
      <c r="G6" s="55"/>
      <c r="H6" s="55"/>
      <c r="I6" s="55"/>
      <c r="J6" s="55"/>
      <c r="K6" s="55"/>
      <c r="L6" s="55"/>
      <c r="M6" s="55"/>
      <c r="N6" s="56"/>
    </row>
    <row r="7" spans="1:14" customHeight="1" ht="16" s="85" customFormat="1">
      <c r="A7" s="84" t="s">
        <v>337</v>
      </c>
      <c r="B7" s="128"/>
      <c r="C7" s="71">
        <f>'1.Var.Fin'!B5+'1.Var.Fin'!B11+'1.Var.Fin'!B17</f>
        <v>26553200.8718</v>
      </c>
      <c r="D7" s="72"/>
      <c r="E7" s="72"/>
      <c r="F7" s="72"/>
      <c r="G7" s="72"/>
      <c r="H7" s="72"/>
      <c r="I7" s="72"/>
      <c r="J7" s="72"/>
      <c r="K7" s="72"/>
      <c r="L7" s="72"/>
      <c r="M7" s="72"/>
      <c r="N7" s="73"/>
    </row>
    <row r="8" spans="1:14" customHeight="1" ht="16" s="85" customFormat="1">
      <c r="A8" s="84" t="s">
        <v>338</v>
      </c>
      <c r="B8" s="128"/>
      <c r="C8" s="71">
        <f>'10.Vente'!D12</f>
        <v>2808000</v>
      </c>
      <c r="D8" s="72">
        <f>'10.Vente'!E12</f>
        <v>2808000</v>
      </c>
      <c r="E8" s="72">
        <f>'10.Vente'!F12</f>
        <v>2808000</v>
      </c>
      <c r="F8" s="72">
        <f>'10.Vente'!G12</f>
        <v>2808000</v>
      </c>
      <c r="G8" s="72">
        <f>'10.Vente'!H12</f>
        <v>2808000</v>
      </c>
      <c r="H8" s="72">
        <f>'10.Vente'!I12</f>
        <v>2808000</v>
      </c>
      <c r="I8" s="72">
        <f>'10.Vente'!J12</f>
        <v>2808000</v>
      </c>
      <c r="J8" s="72">
        <f>'10.Vente'!K12</f>
        <v>2808000</v>
      </c>
      <c r="K8" s="72">
        <f>'10.Vente'!L12</f>
        <v>2808000</v>
      </c>
      <c r="L8" s="72">
        <f>'10.Vente'!M12</f>
        <v>2808000</v>
      </c>
      <c r="M8" s="72">
        <f>'10.Vente'!N12</f>
        <v>2808000</v>
      </c>
      <c r="N8" s="73">
        <f>'10.Vente'!O12</f>
        <v>2808000</v>
      </c>
    </row>
    <row r="9" spans="1:14" customHeight="1" ht="16">
      <c r="A9" s="57" t="s">
        <v>159</v>
      </c>
      <c r="B9" s="62"/>
      <c r="C9" s="58">
        <f>SUM(C7:C8)</f>
        <v>29361200.8718</v>
      </c>
      <c r="D9" s="59">
        <f>SUM(D7:D8)</f>
        <v>2808000</v>
      </c>
      <c r="E9" s="59">
        <f>SUM(E7:E8)</f>
        <v>2808000</v>
      </c>
      <c r="F9" s="59">
        <f>SUM(F7:F8)</f>
        <v>2808000</v>
      </c>
      <c r="G9" s="59">
        <f>SUM(G7:G8)</f>
        <v>2808000</v>
      </c>
      <c r="H9" s="59">
        <f>SUM(H7:H8)</f>
        <v>2808000</v>
      </c>
      <c r="I9" s="59">
        <f>SUM(I7:I8)</f>
        <v>2808000</v>
      </c>
      <c r="J9" s="59">
        <f>SUM(J7:J8)</f>
        <v>2808000</v>
      </c>
      <c r="K9" s="59">
        <f>SUM(K7:K8)</f>
        <v>2808000</v>
      </c>
      <c r="L9" s="59">
        <f>SUM(L7:L8)</f>
        <v>2808000</v>
      </c>
      <c r="M9" s="59">
        <f>SUM(M7:M8)</f>
        <v>2808000</v>
      </c>
      <c r="N9" s="60">
        <f>SUM(N7:N8)</f>
        <v>2808000</v>
      </c>
    </row>
    <row r="10" spans="1:14" customHeight="1" ht="16">
      <c r="A10" s="53" t="s">
        <v>160</v>
      </c>
      <c r="B10" s="53"/>
      <c r="C10" s="54"/>
      <c r="D10" s="55"/>
      <c r="E10" s="55"/>
      <c r="F10" s="55"/>
      <c r="G10" s="55"/>
      <c r="H10" s="55"/>
      <c r="I10" s="55"/>
      <c r="J10" s="55"/>
      <c r="K10" s="55"/>
      <c r="L10" s="55"/>
      <c r="M10" s="55"/>
      <c r="N10" s="56"/>
    </row>
    <row r="11" spans="1:14" customHeight="1" ht="16">
      <c r="A11" s="61" t="s">
        <v>161</v>
      </c>
      <c r="B11" s="61"/>
      <c r="C11" s="58">
        <f>'7.Bud.Inv.'!E22</f>
        <v>22778200</v>
      </c>
      <c r="D11" s="59">
        <f>'7.Bud.Inv.'!F22</f>
        <v>0</v>
      </c>
      <c r="E11" s="59">
        <f>'7.Bud.Inv.'!G22</f>
        <v>0</v>
      </c>
      <c r="F11" s="59">
        <f>'7.Bud.Inv.'!H22</f>
        <v>0</v>
      </c>
      <c r="G11" s="59">
        <f>'7.Bud.Inv.'!I22</f>
        <v>0</v>
      </c>
      <c r="H11" s="59">
        <f>'7.Bud.Inv.'!J22</f>
        <v>0</v>
      </c>
      <c r="I11" s="59">
        <f>'7.Bud.Inv.'!K22</f>
        <v>0</v>
      </c>
      <c r="J11" s="59">
        <f>'7.Bud.Inv.'!L22</f>
        <v>0</v>
      </c>
      <c r="K11" s="59">
        <f>'7.Bud.Inv.'!M22</f>
        <v>0</v>
      </c>
      <c r="L11" s="59">
        <f>'7.Bud.Inv.'!N22</f>
        <v>0</v>
      </c>
      <c r="M11" s="59">
        <f>'7.Bud.Inv.'!O22</f>
        <v>0</v>
      </c>
      <c r="N11" s="60">
        <f>'7.Bud.Inv.'!P22</f>
        <v>0</v>
      </c>
    </row>
    <row r="12" spans="1:14" customHeight="1" ht="16">
      <c r="A12" s="53" t="s">
        <v>339</v>
      </c>
      <c r="B12" s="53"/>
      <c r="C12" s="54"/>
      <c r="D12" s="55"/>
      <c r="E12" s="55"/>
      <c r="F12" s="55"/>
      <c r="G12" s="55"/>
      <c r="H12" s="55"/>
      <c r="I12" s="55"/>
      <c r="J12" s="55"/>
      <c r="K12" s="55"/>
      <c r="L12" s="55"/>
      <c r="M12" s="55"/>
      <c r="N12" s="56"/>
    </row>
    <row r="13" spans="1:14" customHeight="1" ht="16">
      <c r="A13" s="62" t="s">
        <v>340</v>
      </c>
      <c r="B13" s="62"/>
      <c r="C13" s="58">
        <f>SUM('12.Char.Dir'!D4:D25)</f>
        <v>1567500</v>
      </c>
      <c r="D13" s="59">
        <f>SUM('12.Char.Dir'!E4:E25)</f>
        <v>1567500</v>
      </c>
      <c r="E13" s="59">
        <f>SUM('12.Char.Dir'!F4:F25)</f>
        <v>1567500</v>
      </c>
      <c r="F13" s="59">
        <f>SUM('12.Char.Dir'!G4:G25)</f>
        <v>1567500</v>
      </c>
      <c r="G13" s="59">
        <f>SUM('12.Char.Dir'!H4:H25)</f>
        <v>1567500</v>
      </c>
      <c r="H13" s="59">
        <f>SUM('12.Char.Dir'!I4:I25)</f>
        <v>1567500</v>
      </c>
      <c r="I13" s="59">
        <f>SUM('12.Char.Dir'!J4:J25)</f>
        <v>1567500</v>
      </c>
      <c r="J13" s="59">
        <f>SUM('12.Char.Dir'!K4:K25)</f>
        <v>1567500</v>
      </c>
      <c r="K13" s="59">
        <f>SUM('12.Char.Dir'!L4:L25)</f>
        <v>1567500</v>
      </c>
      <c r="L13" s="59">
        <f>SUM('12.Char.Dir'!M4:M25)</f>
        <v>1567500</v>
      </c>
      <c r="M13" s="59">
        <f>SUM('12.Char.Dir'!N4:N25)</f>
        <v>1567500</v>
      </c>
      <c r="N13" s="60">
        <f>SUM('12.Char.Dir'!O4:O25)</f>
        <v>1567500</v>
      </c>
    </row>
    <row r="14" spans="1:14" customHeight="1" ht="16">
      <c r="A14" s="63" t="s">
        <v>341</v>
      </c>
      <c r="B14" s="63"/>
      <c r="C14" s="64"/>
      <c r="D14" s="65"/>
      <c r="E14" s="65"/>
      <c r="F14" s="65"/>
      <c r="G14" s="65"/>
      <c r="H14" s="65"/>
      <c r="I14" s="65"/>
      <c r="J14" s="65"/>
      <c r="K14" s="65"/>
      <c r="L14" s="65"/>
      <c r="M14" s="65"/>
      <c r="N14" s="66"/>
    </row>
    <row r="15" spans="1:14" s="85" customFormat="1">
      <c r="A15" s="67" t="s">
        <v>342</v>
      </c>
      <c r="B15" s="67"/>
      <c r="C15" s="68">
        <f>SUM('14.Char.Ind'!D4:D13)</f>
        <v>2749500</v>
      </c>
      <c r="D15" s="69">
        <f>SUM('14.Char.Ind'!E4:E13)</f>
        <v>469500</v>
      </c>
      <c r="E15" s="69">
        <f>SUM('14.Char.Ind'!F4:F13)</f>
        <v>469500</v>
      </c>
      <c r="F15" s="69">
        <f>SUM('14.Char.Ind'!G4:G13)</f>
        <v>469500</v>
      </c>
      <c r="G15" s="69">
        <f>SUM('14.Char.Ind'!H4:H13)</f>
        <v>469500</v>
      </c>
      <c r="H15" s="69">
        <f>SUM('14.Char.Ind'!I4:I13)</f>
        <v>469500</v>
      </c>
      <c r="I15" s="69">
        <f>SUM('14.Char.Ind'!J4:J13)</f>
        <v>469500</v>
      </c>
      <c r="J15" s="69">
        <f>SUM('14.Char.Ind'!K4:K13)</f>
        <v>469500</v>
      </c>
      <c r="K15" s="69">
        <f>SUM('14.Char.Ind'!L4:L13)</f>
        <v>469500</v>
      </c>
      <c r="L15" s="69">
        <f>SUM('14.Char.Ind'!M4:M13)</f>
        <v>469500</v>
      </c>
      <c r="M15" s="69">
        <f>SUM('14.Char.Ind'!N4:N13)</f>
        <v>469500</v>
      </c>
      <c r="N15" s="70">
        <f>SUM('14.Char.Ind'!O4:O13)</f>
        <v>469500</v>
      </c>
    </row>
    <row r="16" spans="1:14" s="85" customFormat="1">
      <c r="A16" s="67" t="s">
        <v>343</v>
      </c>
      <c r="B16" s="67"/>
      <c r="C16" s="68">
        <f>SUM('12.Char.Dir'!D26)</f>
        <v>617760</v>
      </c>
      <c r="D16" s="69">
        <f>SUM('12.Char.Dir'!E26)</f>
        <v>617760</v>
      </c>
      <c r="E16" s="69">
        <f>SUM('12.Char.Dir'!F26)</f>
        <v>617760</v>
      </c>
      <c r="F16" s="69">
        <f>SUM('12.Char.Dir'!G26)</f>
        <v>617760</v>
      </c>
      <c r="G16" s="69">
        <f>SUM('12.Char.Dir'!H26)</f>
        <v>617760</v>
      </c>
      <c r="H16" s="69">
        <f>SUM('12.Char.Dir'!I26)</f>
        <v>617760</v>
      </c>
      <c r="I16" s="69">
        <f>SUM('12.Char.Dir'!J26)</f>
        <v>617760</v>
      </c>
      <c r="J16" s="69">
        <f>SUM('12.Char.Dir'!K26)</f>
        <v>617760</v>
      </c>
      <c r="K16" s="69">
        <f>SUM('12.Char.Dir'!L26)</f>
        <v>617760</v>
      </c>
      <c r="L16" s="69">
        <f>SUM('12.Char.Dir'!M26)</f>
        <v>617760</v>
      </c>
      <c r="M16" s="69">
        <f>SUM('12.Char.Dir'!N26)</f>
        <v>617760</v>
      </c>
      <c r="N16" s="70">
        <f>SUM('12.Char.Dir'!O26)</f>
        <v>617760</v>
      </c>
    </row>
    <row r="17" spans="1:14" customHeight="1" ht="16" s="85" customFormat="1">
      <c r="A17" s="67" t="s">
        <v>344</v>
      </c>
      <c r="B17" s="67"/>
      <c r="C17" s="68">
        <f>SUM('12.Char.Dir'!D27:D28)</f>
        <v>13478.4</v>
      </c>
      <c r="D17" s="69">
        <f>SUM('12.Char.Dir'!E27:E28)</f>
        <v>13478.4</v>
      </c>
      <c r="E17" s="69">
        <f>SUM('12.Char.Dir'!F27:F28)</f>
        <v>13478.4</v>
      </c>
      <c r="F17" s="69">
        <f>SUM('12.Char.Dir'!G27:G28)</f>
        <v>13478.4</v>
      </c>
      <c r="G17" s="69">
        <f>SUM('12.Char.Dir'!H27:H28)</f>
        <v>13478.4</v>
      </c>
      <c r="H17" s="69">
        <f>SUM('12.Char.Dir'!I27:I28)</f>
        <v>13478.4</v>
      </c>
      <c r="I17" s="69">
        <f>SUM('12.Char.Dir'!J27:J28)</f>
        <v>13478.4</v>
      </c>
      <c r="J17" s="69">
        <f>SUM('12.Char.Dir'!K27:K28)</f>
        <v>13478.4</v>
      </c>
      <c r="K17" s="69">
        <f>SUM('12.Char.Dir'!L27:L28)</f>
        <v>13478.4</v>
      </c>
      <c r="L17" s="69">
        <f>SUM('12.Char.Dir'!M27:M28)</f>
        <v>13478.4</v>
      </c>
      <c r="M17" s="69">
        <f>SUM('12.Char.Dir'!N27:N28)</f>
        <v>13478.4</v>
      </c>
      <c r="N17" s="70">
        <f>SUM('12.Char.Dir'!O27:O28)</f>
        <v>1047945.6</v>
      </c>
    </row>
    <row r="18" spans="1:14" customHeight="1" ht="16">
      <c r="A18" s="62" t="s">
        <v>345</v>
      </c>
      <c r="B18" s="62"/>
      <c r="C18" s="58">
        <f>SUM(C15:C17)</f>
        <v>3380738.4</v>
      </c>
      <c r="D18" s="59">
        <f>SUM(D15:D17)</f>
        <v>1100738.4</v>
      </c>
      <c r="E18" s="59">
        <f>SUM(E15:E17)</f>
        <v>1100738.4</v>
      </c>
      <c r="F18" s="59">
        <f>SUM(F15:F17)</f>
        <v>1100738.4</v>
      </c>
      <c r="G18" s="59">
        <f>SUM(G15:G17)</f>
        <v>1100738.4</v>
      </c>
      <c r="H18" s="59">
        <f>SUM(H15:H17)</f>
        <v>1100738.4</v>
      </c>
      <c r="I18" s="59">
        <f>SUM(I15:I17)</f>
        <v>1100738.4</v>
      </c>
      <c r="J18" s="59">
        <f>SUM(J15:J17)</f>
        <v>1100738.4</v>
      </c>
      <c r="K18" s="59">
        <f>SUM(K15:K17)</f>
        <v>1100738.4</v>
      </c>
      <c r="L18" s="59">
        <f>SUM(L15:L17)</f>
        <v>1100738.4</v>
      </c>
      <c r="M18" s="59">
        <f>SUM(M15:M17)</f>
        <v>1100738.4</v>
      </c>
      <c r="N18" s="60">
        <f>SUM(N15:N17)</f>
        <v>2135205.6</v>
      </c>
    </row>
    <row r="19" spans="1:14">
      <c r="A19" s="74" t="s">
        <v>168</v>
      </c>
      <c r="B19" s="74"/>
      <c r="C19" s="71">
        <f>SUMIF('2.Cal.Amo.CT'!$A$10:$A$21,C$4,'2.Cal.Amo.CT'!$E$10:$E$21)</f>
        <v>288928.55592455</v>
      </c>
      <c r="D19" s="72">
        <f>SUMIF('2.Cal.Amo.CT'!$A$10:$A$21,D$4,'2.Cal.Amo.CT'!$E$10:$E$21)</f>
        <v>292299.38907701</v>
      </c>
      <c r="E19" s="72">
        <f>SUMIF('2.Cal.Amo.CT'!$A$10:$A$21,E$4,'2.Cal.Amo.CT'!$E$10:$E$21)</f>
        <v>295709.54861624</v>
      </c>
      <c r="F19" s="72">
        <f>SUMIF('2.Cal.Amo.CT'!$A$10:$A$21,F$4,'2.Cal.Amo.CT'!$E$10:$E$21)</f>
        <v>299159.4933501</v>
      </c>
      <c r="G19" s="72">
        <f>SUMIF('2.Cal.Amo.CT'!$A$10:$A$21,G$4,'2.Cal.Amo.CT'!$E$10:$E$21)</f>
        <v>302649.68743918</v>
      </c>
      <c r="H19" s="72">
        <f>SUMIF('2.Cal.Amo.CT'!$A$10:$A$21,H$4,'2.Cal.Amo.CT'!$E$10:$E$21)</f>
        <v>306180.6004593</v>
      </c>
      <c r="I19" s="72">
        <f>SUMIF('2.Cal.Amo.CT'!$A$10:$A$21,I$4,'2.Cal.Amo.CT'!$E$10:$E$21)</f>
        <v>309752.70746466</v>
      </c>
      <c r="J19" s="72">
        <f>SUMIF('2.Cal.Amo.CT'!$A$10:$A$21,J$4,'2.Cal.Amo.CT'!$E$10:$E$21)</f>
        <v>313366.48905175</v>
      </c>
      <c r="K19" s="72">
        <f>SUMIF('2.Cal.Amo.CT'!$A$10:$A$21,K$4,'2.Cal.Amo.CT'!$E$10:$E$21)</f>
        <v>317022.43142402</v>
      </c>
      <c r="L19" s="72">
        <f>SUMIF('2.Cal.Amo.CT'!$A$10:$A$21,L$4,'2.Cal.Amo.CT'!$E$10:$E$21)</f>
        <v>320721.0264573</v>
      </c>
      <c r="M19" s="72">
        <f>SUMIF('2.Cal.Amo.CT'!$A$10:$A$21,M$4,'2.Cal.Amo.CT'!$E$10:$E$21)</f>
        <v>324462.77176597</v>
      </c>
      <c r="N19" s="73">
        <f>SUMIF('2.Cal.Amo.CT'!$A$10:$A$21,N$4,'2.Cal.Amo.CT'!$E$10:$E$21)</f>
        <v>328248.17076991</v>
      </c>
    </row>
    <row r="20" spans="1:14">
      <c r="A20" s="74" t="s">
        <v>169</v>
      </c>
      <c r="B20" s="74"/>
      <c r="C20" s="71">
        <f>SUMIF('2.Cal.Amo.CT'!$A$10:$A$21,C$4,'2.Cal.Amo.CT'!$C$10:$C$21)</f>
        <v>43149.176837667</v>
      </c>
      <c r="D20" s="72">
        <f>SUMIF('2.Cal.Amo.CT'!$A$10:$A$21,D$4,'2.Cal.Amo.CT'!$C$10:$C$21)</f>
        <v>39778.343685214</v>
      </c>
      <c r="E20" s="72">
        <f>SUMIF('2.Cal.Amo.CT'!$A$10:$A$21,E$4,'2.Cal.Amo.CT'!$C$10:$C$21)</f>
        <v>36368.184145982</v>
      </c>
      <c r="F20" s="72">
        <f>SUMIF('2.Cal.Amo.CT'!$A$10:$A$21,F$4,'2.Cal.Amo.CT'!$C$10:$C$21)</f>
        <v>32918.239412126</v>
      </c>
      <c r="G20" s="72">
        <f>SUMIF('2.Cal.Amo.CT'!$A$10:$A$21,G$4,'2.Cal.Amo.CT'!$C$10:$C$21)</f>
        <v>29428.045323041</v>
      </c>
      <c r="H20" s="72">
        <f>SUMIF('2.Cal.Amo.CT'!$A$10:$A$21,H$4,'2.Cal.Amo.CT'!$C$10:$C$21)</f>
        <v>25897.132302917</v>
      </c>
      <c r="I20" s="72">
        <f>SUMIF('2.Cal.Amo.CT'!$A$10:$A$21,I$4,'2.Cal.Amo.CT'!$C$10:$C$21)</f>
        <v>22325.025297559</v>
      </c>
      <c r="J20" s="72">
        <f>SUMIF('2.Cal.Amo.CT'!$A$10:$A$21,J$4,'2.Cal.Amo.CT'!$C$10:$C$21)</f>
        <v>18711.243710471</v>
      </c>
      <c r="K20" s="72">
        <f>SUMIF('2.Cal.Amo.CT'!$A$10:$A$21,K$4,'2.Cal.Amo.CT'!$C$10:$C$21)</f>
        <v>15055.301338201</v>
      </c>
      <c r="L20" s="72">
        <f>SUMIF('2.Cal.Amo.CT'!$A$10:$A$21,L$4,'2.Cal.Amo.CT'!$C$10:$C$21)</f>
        <v>11356.706304921</v>
      </c>
      <c r="M20" s="72">
        <f>SUMIF('2.Cal.Amo.CT'!$A$10:$A$21,M$4,'2.Cal.Amo.CT'!$C$10:$C$21)</f>
        <v>7614.960996252</v>
      </c>
      <c r="N20" s="73">
        <f>SUMIF('2.Cal.Amo.CT'!$A$10:$A$21,N$4,'2.Cal.Amo.CT'!$C$10:$C$21)</f>
        <v>3829.5619923157</v>
      </c>
    </row>
    <row r="21" spans="1:14">
      <c r="A21" s="74" t="s">
        <v>170</v>
      </c>
      <c r="B21" s="74"/>
      <c r="C21" s="71">
        <f>(SUMIF('3.Cal.Amo.LT'!$A:$A,"n",'3.Cal.Amo.LT'!$E:$E)+SUMIF('4.Cal.Amo.AI'!$A:$A,"n",'4.Cal.Amo.AI'!$E:$E))/12</f>
        <v>580994.58019381</v>
      </c>
      <c r="D21" s="72">
        <f>(SUMIF('3.Cal.Amo.LT'!$A:$A,"n",'3.Cal.Amo.LT'!$E:$E)+SUMIF('4.Cal.Amo.AI'!$A:$A,"n",'4.Cal.Amo.AI'!$E:$E))/12</f>
        <v>580994.58019381</v>
      </c>
      <c r="E21" s="72">
        <f>(SUMIF('3.Cal.Amo.LT'!$A:$A,"n",'3.Cal.Amo.LT'!$E:$E)+SUMIF('4.Cal.Amo.AI'!$A:$A,"n",'4.Cal.Amo.AI'!$E:$E))/12</f>
        <v>580994.58019381</v>
      </c>
      <c r="F21" s="72">
        <f>(SUMIF('3.Cal.Amo.LT'!$A:$A,"n",'3.Cal.Amo.LT'!$E:$E)+SUMIF('4.Cal.Amo.AI'!$A:$A,"n",'4.Cal.Amo.AI'!$E:$E))/12</f>
        <v>580994.58019381</v>
      </c>
      <c r="G21" s="72">
        <f>(SUMIF('3.Cal.Amo.LT'!$A:$A,"n",'3.Cal.Amo.LT'!$E:$E)+SUMIF('4.Cal.Amo.AI'!$A:$A,"n",'4.Cal.Amo.AI'!$E:$E))/12</f>
        <v>580994.58019381</v>
      </c>
      <c r="H21" s="72">
        <f>(SUMIF('3.Cal.Amo.LT'!$A:$A,"n",'3.Cal.Amo.LT'!$E:$E)+SUMIF('4.Cal.Amo.AI'!$A:$A,"n",'4.Cal.Amo.AI'!$E:$E))/12</f>
        <v>580994.58019381</v>
      </c>
      <c r="I21" s="72">
        <f>(SUMIF('3.Cal.Amo.LT'!$A:$A,"n",'3.Cal.Amo.LT'!$E:$E)+SUMIF('4.Cal.Amo.AI'!$A:$A,"n",'4.Cal.Amo.AI'!$E:$E))/12</f>
        <v>580994.58019381</v>
      </c>
      <c r="J21" s="72">
        <f>(SUMIF('3.Cal.Amo.LT'!$A:$A,"n",'3.Cal.Amo.LT'!$E:$E)+SUMIF('4.Cal.Amo.AI'!$A:$A,"n",'4.Cal.Amo.AI'!$E:$E))/12</f>
        <v>580994.58019381</v>
      </c>
      <c r="K21" s="72">
        <f>(SUMIF('3.Cal.Amo.LT'!$A:$A,"n",'3.Cal.Amo.LT'!$E:$E)+SUMIF('4.Cal.Amo.AI'!$A:$A,"n",'4.Cal.Amo.AI'!$E:$E))/12</f>
        <v>580994.58019381</v>
      </c>
      <c r="L21" s="72">
        <f>(SUMIF('3.Cal.Amo.LT'!$A:$A,"n",'3.Cal.Amo.LT'!$E:$E)+SUMIF('4.Cal.Amo.AI'!$A:$A,"n",'4.Cal.Amo.AI'!$E:$E))/12</f>
        <v>580994.58019381</v>
      </c>
      <c r="M21" s="72">
        <f>(SUMIF('3.Cal.Amo.LT'!$A:$A,"n",'3.Cal.Amo.LT'!$E:$E)+SUMIF('4.Cal.Amo.AI'!$A:$A,"n",'4.Cal.Amo.AI'!$E:$E))/12</f>
        <v>580994.58019381</v>
      </c>
      <c r="N21" s="73">
        <f>(SUMIF('3.Cal.Amo.LT'!$A:$A,"n",'3.Cal.Amo.LT'!$E:$E)+SUMIF('4.Cal.Amo.AI'!$A:$A,"n",'4.Cal.Amo.AI'!$E:$E))/12</f>
        <v>580994.58019381</v>
      </c>
    </row>
    <row r="22" spans="1:14" customHeight="1" ht="16">
      <c r="A22" s="74" t="s">
        <v>171</v>
      </c>
      <c r="B22" s="74"/>
      <c r="C22" s="71">
        <f>(SUMIF('3.Cal.Amo.LT'!$A:$A,"n",'3.Cal.Amo.LT'!$C:$C)+SUMIF('4.Cal.Amo.AI'!$A:$A,"n",'4.Cal.Amo.AI'!$C:$C))/12</f>
        <v>171410.25</v>
      </c>
      <c r="D22" s="72">
        <f>(SUMIF('3.Cal.Amo.LT'!$A:$A,"n",'3.Cal.Amo.LT'!$C:$C)+SUMIF('4.Cal.Amo.AI'!$A:$A,"n",'4.Cal.Amo.AI'!$C:$C))/12</f>
        <v>171410.25</v>
      </c>
      <c r="E22" s="72">
        <f>(SUMIF('3.Cal.Amo.LT'!$A:$A,"n",'3.Cal.Amo.LT'!$C:$C)+SUMIF('4.Cal.Amo.AI'!$A:$A,"n",'4.Cal.Amo.AI'!$C:$C))/12</f>
        <v>171410.25</v>
      </c>
      <c r="F22" s="72">
        <f>(SUMIF('3.Cal.Amo.LT'!$A:$A,"n",'3.Cal.Amo.LT'!$C:$C)+SUMIF('4.Cal.Amo.AI'!$A:$A,"n",'4.Cal.Amo.AI'!$C:$C))/12</f>
        <v>171410.25</v>
      </c>
      <c r="G22" s="72">
        <f>(SUMIF('3.Cal.Amo.LT'!$A:$A,"n",'3.Cal.Amo.LT'!$C:$C)+SUMIF('4.Cal.Amo.AI'!$A:$A,"n",'4.Cal.Amo.AI'!$C:$C))/12</f>
        <v>171410.25</v>
      </c>
      <c r="H22" s="72">
        <f>(SUMIF('3.Cal.Amo.LT'!$A:$A,"n",'3.Cal.Amo.LT'!$C:$C)+SUMIF('4.Cal.Amo.AI'!$A:$A,"n",'4.Cal.Amo.AI'!$C:$C))/12</f>
        <v>171410.25</v>
      </c>
      <c r="I22" s="72">
        <f>(SUMIF('3.Cal.Amo.LT'!$A:$A,"n",'3.Cal.Amo.LT'!$C:$C)+SUMIF('4.Cal.Amo.AI'!$A:$A,"n",'4.Cal.Amo.AI'!$C:$C))/12</f>
        <v>171410.25</v>
      </c>
      <c r="J22" s="72">
        <f>(SUMIF('3.Cal.Amo.LT'!$A:$A,"n",'3.Cal.Amo.LT'!$C:$C)+SUMIF('4.Cal.Amo.AI'!$A:$A,"n",'4.Cal.Amo.AI'!$C:$C))/12</f>
        <v>171410.25</v>
      </c>
      <c r="K22" s="72">
        <f>(SUMIF('3.Cal.Amo.LT'!$A:$A,"n",'3.Cal.Amo.LT'!$C:$C)+SUMIF('4.Cal.Amo.AI'!$A:$A,"n",'4.Cal.Amo.AI'!$C:$C))/12</f>
        <v>171410.25</v>
      </c>
      <c r="L22" s="72">
        <f>(SUMIF('3.Cal.Amo.LT'!$A:$A,"n",'3.Cal.Amo.LT'!$C:$C)+SUMIF('4.Cal.Amo.AI'!$A:$A,"n",'4.Cal.Amo.AI'!$C:$C))/12</f>
        <v>171410.25</v>
      </c>
      <c r="M22" s="72">
        <f>(SUMIF('3.Cal.Amo.LT'!$A:$A,"n",'3.Cal.Amo.LT'!$C:$C)+SUMIF('4.Cal.Amo.AI'!$A:$A,"n",'4.Cal.Amo.AI'!$C:$C))/12</f>
        <v>171410.25</v>
      </c>
      <c r="N22" s="73">
        <f>(SUMIF('3.Cal.Amo.LT'!$A:$A,"n",'3.Cal.Amo.LT'!$C:$C)+SUMIF('4.Cal.Amo.AI'!$A:$A,"n",'4.Cal.Amo.AI'!$C:$C))/12</f>
        <v>171410.25</v>
      </c>
    </row>
    <row r="23" spans="1:14" customHeight="1" ht="16">
      <c r="A23" s="62" t="s">
        <v>172</v>
      </c>
      <c r="B23" s="62"/>
      <c r="C23" s="58">
        <f>SUM(C19:C22)</f>
        <v>1084482.562956</v>
      </c>
      <c r="D23" s="59">
        <f>SUM(D19:D22)</f>
        <v>1084482.562956</v>
      </c>
      <c r="E23" s="59">
        <f>SUM(E19:E22)</f>
        <v>1084482.562956</v>
      </c>
      <c r="F23" s="59">
        <f>SUM(F19:F22)</f>
        <v>1084482.562956</v>
      </c>
      <c r="G23" s="59">
        <f>SUM(G19:G22)</f>
        <v>1084482.562956</v>
      </c>
      <c r="H23" s="59">
        <f>SUM(H19:H22)</f>
        <v>1084482.562956</v>
      </c>
      <c r="I23" s="59">
        <f>SUM(I19:I22)</f>
        <v>1084482.562956</v>
      </c>
      <c r="J23" s="59">
        <f>SUM(J19:J22)</f>
        <v>1084482.562956</v>
      </c>
      <c r="K23" s="59">
        <f>SUM(K19:K22)</f>
        <v>1084482.562956</v>
      </c>
      <c r="L23" s="59">
        <f>SUM(L19:L22)</f>
        <v>1084482.562956</v>
      </c>
      <c r="M23" s="59">
        <f>SUM(M19:M22)</f>
        <v>1084482.562956</v>
      </c>
      <c r="N23" s="60">
        <f>SUM(N19:N22)</f>
        <v>1084482.562956</v>
      </c>
    </row>
    <row r="24" spans="1:14">
      <c r="A24" s="75" t="s">
        <v>173</v>
      </c>
      <c r="B24" s="129"/>
      <c r="C24" s="76">
        <f>C11+C13+C18+C23</f>
        <v>28810920.962956</v>
      </c>
      <c r="D24" s="77">
        <v>17850148.873531</v>
      </c>
      <c r="E24" s="77">
        <v>5922813.8735314</v>
      </c>
      <c r="F24" s="77">
        <v>5922813.8735314</v>
      </c>
      <c r="G24" s="78">
        <v>5922813.8735314</v>
      </c>
      <c r="H24" s="77">
        <v>5922813.8735314</v>
      </c>
      <c r="I24" s="77">
        <v>5922813.8735314</v>
      </c>
      <c r="J24" s="77">
        <v>5922813.8735314</v>
      </c>
      <c r="K24" s="77">
        <v>5922813.8735314</v>
      </c>
      <c r="L24" s="77">
        <v>5922813.8735314</v>
      </c>
      <c r="M24" s="77">
        <v>5922813.8735314</v>
      </c>
      <c r="N24" s="79">
        <v>14421022.395026</v>
      </c>
    </row>
    <row r="25" spans="1:14" customHeight="1" ht="16">
      <c r="A25" s="80" t="s">
        <v>346</v>
      </c>
      <c r="B25" s="80"/>
      <c r="C25" s="81">
        <f>C5+C9-C24</f>
        <v>550279.90884397</v>
      </c>
      <c r="D25" s="82">
        <f>D5+D9-D24</f>
        <v>-14491868.964687</v>
      </c>
      <c r="E25" s="82">
        <f>E5+E9-E24</f>
        <v>-17606682.838219</v>
      </c>
      <c r="F25" s="82">
        <f>F5+F9-F24</f>
        <v>-20721496.71175</v>
      </c>
      <c r="G25" s="82">
        <f>G5+G9-G24</f>
        <v>-23836310.585281</v>
      </c>
      <c r="H25" s="82">
        <f>H5+H9-H24</f>
        <v>-26951124.458813</v>
      </c>
      <c r="I25" s="82">
        <f>I5+I9-I24</f>
        <v>-30065938.332344</v>
      </c>
      <c r="J25" s="82">
        <f>J5+J9-J24</f>
        <v>-33180752.205876</v>
      </c>
      <c r="K25" s="82">
        <f>K5+K9-K24</f>
        <v>-36295566.079407</v>
      </c>
      <c r="L25" s="82">
        <f>L5+L9-L24</f>
        <v>-39410379.952938</v>
      </c>
      <c r="M25" s="82">
        <f>M5+M9-M24</f>
        <v>-42525193.82647</v>
      </c>
      <c r="N25" s="83">
        <f>N5+N9-N24</f>
        <v>-54138216.221496</v>
      </c>
    </row>
    <row r="26" spans="1:14" customHeight="1" ht="16"/>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C25:N25">
    <cfRule type="cellIs" dxfId="0" priority="1" operator="lessThanOrEqual">
      <formula>0</formula>
    </cfRule>
  </conditionalFormatting>
  <printOptions gridLines="false" gridLinesSet="true"/>
  <pageMargins left="0.7" right="0.7" top="0.75" bottom="0.75" header="0.3" footer="0.3"/>
  <pageSetup paperSize="9" orientation="portrait" scale="100" fitToHeight="1" fitToWidth="1" pageOrder="downThenOver" r:id="rId1"/>
  <headerFooter differentOddEven="false" differentFirst="false" scaleWithDoc="true" alignWithMargins="true">
    <oddHeader/>
    <oddFooter/>
    <evenHeader/>
    <evenFooter/>
    <firstHeader/>
    <first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7030A0"/>
    <outlinePr summaryBelow="1" summaryRight="1"/>
  </sheetPr>
  <dimension ref="A1:O47"/>
  <sheetViews>
    <sheetView tabSelected="0" workbookViewId="0" showGridLines="true" showRowColHeaders="1">
      <selection activeCell="C45" sqref="C45"/>
    </sheetView>
  </sheetViews>
  <sheetFormatPr defaultRowHeight="14.4" defaultColWidth="10.83203125" outlineLevelRow="0" outlineLevelCol="0"/>
  <cols>
    <col min="1" max="1" width="37.33203125" customWidth="true" style="24"/>
    <col min="2" max="2" width="23.5" customWidth="true" style="24"/>
    <col min="3" max="3" width="10.83203125" style="1"/>
    <col min="4" max="4" width="10.83203125" style="1"/>
    <col min="5" max="5" width="10.83203125" style="1"/>
    <col min="6" max="6" width="13.5" customWidth="true" style="24"/>
    <col min="7" max="7" width="12.5" customWidth="true" style="24"/>
    <col min="8" max="8" width="11.6640625" customWidth="true" style="24"/>
    <col min="9" max="9" width="10.83203125" style="24"/>
    <col min="10" max="10" width="13.5" customWidth="true" style="24"/>
    <col min="11" max="11" width="10.83203125" style="24"/>
    <col min="12" max="12" width="11" customWidth="true" style="24"/>
    <col min="13" max="13" width="10.83203125" style="24"/>
    <col min="14" max="14" width="11.6640625" customWidth="true" style="24"/>
    <col min="15" max="15" width="10.83203125" style="24"/>
  </cols>
  <sheetData>
    <row r="1" spans="1:15" customHeight="1" ht="14">
      <c r="A1" s="124" t="s">
        <v>347</v>
      </c>
      <c r="B1" s="124"/>
    </row>
    <row r="2" spans="1:15" customHeight="1" ht="16">
      <c r="A2" s="38" t="s">
        <v>348</v>
      </c>
      <c r="B2" s="38"/>
      <c r="C2" s="39"/>
      <c r="D2" s="39"/>
      <c r="E2" s="39"/>
    </row>
    <row r="5" spans="1:15" s="25" customFormat="1">
      <c r="A5" s="27"/>
      <c r="B5" s="27" t="s">
        <v>349</v>
      </c>
      <c r="C5" s="246" t="s">
        <v>144</v>
      </c>
      <c r="D5" s="246" t="s">
        <v>88</v>
      </c>
      <c r="E5" s="246" t="s">
        <v>89</v>
      </c>
    </row>
    <row r="6" spans="1:15">
      <c r="A6" s="27" t="s">
        <v>99</v>
      </c>
      <c r="B6" s="27" t="s">
        <v>99</v>
      </c>
      <c r="C6" s="31"/>
      <c r="D6" s="31"/>
      <c r="E6" s="31"/>
    </row>
    <row r="7" spans="1:15">
      <c r="A7" s="28" t="str">
        <f>'8.Prod'!A4</f>
        <v>Ventes de marchandises</v>
      </c>
      <c r="B7" s="28" t="str">
        <f>'8.Prod'!B4</f>
        <v>CA de Tenue de luxe Homme</v>
      </c>
      <c r="C7" s="31">
        <f>SUMIF('10.Vente'!$A:$A,$A7,'10.Vente'!P:P)</f>
        <v>33696000</v>
      </c>
      <c r="D7" s="31">
        <f>SUMIF('10.Vente'!$A:$A,$A7,'10.Vente'!Q:Q)</f>
        <v>37065600</v>
      </c>
      <c r="E7" s="31">
        <f>SUMIF('10.Vente'!$A:$A,$A7,'10.Vente'!R:R)</f>
        <v>40772160</v>
      </c>
    </row>
    <row r="8" spans="1:15">
      <c r="A8" s="28" t="str">
        <f>'8.Prod'!A8</f>
        <v>Ventes de produits fabriqués</v>
      </c>
      <c r="B8" s="28">
        <f>'8.Prod'!B8</f>
        <v/>
      </c>
      <c r="C8" s="31">
        <f>SUMIF('10.Vente'!$A:$A,$A8,'10.Vente'!P:P)</f>
        <v>0</v>
      </c>
      <c r="D8" s="31">
        <f>SUMIF('10.Vente'!$A:$A,$A8,'10.Vente'!Q:Q)</f>
        <v>0</v>
      </c>
      <c r="E8" s="31">
        <f>SUMIF('10.Vente'!$A:$A,$A8,'10.Vente'!R:R)</f>
        <v>0</v>
      </c>
    </row>
    <row r="9" spans="1:15">
      <c r="A9" s="28" t="str">
        <f>'8.Prod'!A9</f>
        <v>Vente de services</v>
      </c>
      <c r="B9" s="28">
        <f>'8.Prod'!B9</f>
        <v/>
      </c>
      <c r="C9" s="31">
        <f>SUMIF('10.Vente'!$A:$A,$A9,'10.Vente'!P:P)</f>
        <v>0</v>
      </c>
      <c r="D9" s="31">
        <f>SUMIF('10.Vente'!$A:$A,$A9,'10.Vente'!Q:Q)</f>
        <v>0</v>
      </c>
      <c r="E9" s="31">
        <f>SUMIF('10.Vente'!$A:$A,$A9,'10.Vente'!R:R)</f>
        <v>0</v>
      </c>
    </row>
    <row r="10" spans="1:15">
      <c r="A10" s="28" t="str">
        <f>'8.Prod'!A10</f>
        <v>Ventes d'autre produits</v>
      </c>
      <c r="B10" s="28">
        <f>'8.Prod'!B10</f>
        <v/>
      </c>
      <c r="C10" s="31">
        <f>SUMIF('10.Vente'!$A:$A,$A10,'10.Vente'!P:P)</f>
        <v>0</v>
      </c>
      <c r="D10" s="31">
        <f>SUMIF('10.Vente'!$A:$A,$A10,'10.Vente'!Q:Q)</f>
        <v>0</v>
      </c>
      <c r="E10" s="31">
        <f>SUMIF('10.Vente'!$A:$A,$A10,'10.Vente'!R:R)</f>
        <v>0</v>
      </c>
    </row>
    <row r="11" spans="1:15">
      <c r="A11" s="27" t="s">
        <v>350</v>
      </c>
      <c r="B11" s="27" t="s">
        <v>350</v>
      </c>
      <c r="C11" s="31">
        <f>SUM(C7:C10)</f>
        <v>33696000</v>
      </c>
      <c r="D11" s="31">
        <f>SUM(D7:D10)</f>
        <v>37065600</v>
      </c>
      <c r="E11" s="31">
        <f>SUM(E7:E10)</f>
        <v>40772160</v>
      </c>
    </row>
    <row r="12" spans="1:15">
      <c r="A12" s="27" t="s">
        <v>351</v>
      </c>
      <c r="B12" s="27" t="s">
        <v>351</v>
      </c>
      <c r="C12" s="31"/>
      <c r="D12" s="31"/>
      <c r="E12" s="31"/>
    </row>
    <row r="13" spans="1:15">
      <c r="A13" s="28" t="str">
        <f>'11.Charges'!A4</f>
        <v>Achat de marchandises</v>
      </c>
      <c r="B13" s="28" t="str">
        <f>'11.Charges'!B4</f>
        <v>Achat de Tenue de luxe Homme</v>
      </c>
      <c r="C13" s="31">
        <f>SUMIF('12.Char.Dir'!$A:$A,$A13,'12.Char.Dir'!P:P)</f>
        <v>16200000</v>
      </c>
      <c r="D13" s="31">
        <f>SUMIF('12.Char.Dir'!$A:$A,$A13,'12.Char.Dir'!Q:Q)</f>
        <v>17820000</v>
      </c>
      <c r="E13" s="31">
        <f>SUMIF('12.Char.Dir'!$A:$A,$A13,'12.Char.Dir'!R:R)</f>
        <v>19602000</v>
      </c>
    </row>
    <row r="14" spans="1:15">
      <c r="A14" s="28" t="str">
        <f>'11.Charges'!A8</f>
        <v>Achat de MP</v>
      </c>
      <c r="B14" s="28">
        <f>'11.Charges'!B8</f>
        <v/>
      </c>
      <c r="C14" s="31">
        <f>SUMIF('12.Char.Dir'!$A:$A,$A14,'12.Char.Dir'!P:P)</f>
        <v>0</v>
      </c>
      <c r="D14" s="31">
        <f>SUMIF('12.Char.Dir'!$A:$A,$A14,'12.Char.Dir'!Q:Q)</f>
        <v>0</v>
      </c>
      <c r="E14" s="31">
        <f>SUMIF('12.Char.Dir'!$A:$A,$A14,'12.Char.Dir'!R:R)</f>
        <v>0</v>
      </c>
    </row>
    <row r="15" spans="1:15">
      <c r="A15" s="28" t="str">
        <f>'11.Charges'!A9</f>
        <v>Main d'œuvre directe vente</v>
      </c>
      <c r="B15" s="28">
        <f>'11.Charges'!B9</f>
        <v/>
      </c>
      <c r="C15" s="31">
        <f>SUMIF('12.Char.Dir'!$A:$A,$A15,'12.Char.Dir'!P:P)</f>
        <v>0</v>
      </c>
      <c r="D15" s="31">
        <f>SUMIF('12.Char.Dir'!$A:$A,$A15,'12.Char.Dir'!Q:Q)</f>
        <v>0</v>
      </c>
      <c r="E15" s="31">
        <f>SUMIF('12.Char.Dir'!$A:$A,$A15,'12.Char.Dir'!R:R)</f>
        <v>0</v>
      </c>
    </row>
    <row r="16" spans="1:15">
      <c r="A16" s="28" t="str">
        <f>'11.Charges'!A10</f>
        <v>Main d'œuvre directe transformation</v>
      </c>
      <c r="B16" s="28">
        <f>'11.Charges'!B10</f>
        <v/>
      </c>
      <c r="C16" s="31">
        <f>SUMIF('12.Char.Dir'!$A:$A,$A16,'12.Char.Dir'!P:P)</f>
        <v>0</v>
      </c>
      <c r="D16" s="31">
        <f>SUMIF('12.Char.Dir'!$A:$A,$A16,'12.Char.Dir'!Q:Q)</f>
        <v>0</v>
      </c>
      <c r="E16" s="31">
        <f>SUMIF('12.Char.Dir'!$A:$A,$A16,'12.Char.Dir'!R:R)</f>
        <v>0</v>
      </c>
    </row>
    <row r="17" spans="1:15">
      <c r="A17" s="28" t="str">
        <f>'11.Charges'!A11</f>
        <v>Main d'œuvre directe vente de services</v>
      </c>
      <c r="B17" s="28">
        <f>'11.Charges'!B11</f>
        <v/>
      </c>
      <c r="C17" s="31">
        <f>SUMIF('12.Char.Dir'!$A:$A,$A17,'12.Char.Dir'!P:P)</f>
        <v>0</v>
      </c>
      <c r="D17" s="31">
        <f>SUMIF('12.Char.Dir'!$A:$A,$A17,'12.Char.Dir'!Q:Q)</f>
        <v>0</v>
      </c>
      <c r="E17" s="31">
        <f>SUMIF('12.Char.Dir'!$A:$A,$A17,'12.Char.Dir'!R:R)</f>
        <v>0</v>
      </c>
    </row>
    <row r="18" spans="1:15">
      <c r="A18" s="28" t="str">
        <f>'11.Charges'!A12</f>
        <v>Frais indirects de transformation </v>
      </c>
      <c r="B18" s="28">
        <f>'11.Charges'!B12</f>
        <v/>
      </c>
      <c r="C18" s="31">
        <f>SUMIF('12.Char.Dir'!$A:$A,$A18,'12.Char.Dir'!P:P)</f>
        <v>0</v>
      </c>
      <c r="D18" s="31">
        <f>SUMIF('12.Char.Dir'!$A:$A,$A18,'12.Char.Dir'!Q:Q)</f>
        <v>0</v>
      </c>
      <c r="E18" s="31">
        <f>SUMIF('12.Char.Dir'!$A:$A,$A18,'12.Char.Dir'!R:R)</f>
        <v>0</v>
      </c>
    </row>
    <row r="19" spans="1:15">
      <c r="A19" s="28" t="str">
        <f>'11.Charges'!A13</f>
        <v>Frais indirects de vente</v>
      </c>
      <c r="B19" s="28" t="str">
        <f>'11.Charges'!B13</f>
        <v>Logistique Tenue de luxe Homme</v>
      </c>
      <c r="C19" s="31">
        <f>SUMIF('12.Char.Dir'!$A:$A,$A19,'12.Char.Dir'!P:P)</f>
        <v>2160000</v>
      </c>
      <c r="D19" s="31">
        <f>SUMIF('12.Char.Dir'!$A:$A,$A19,'12.Char.Dir'!Q:Q)</f>
        <v>2376000</v>
      </c>
      <c r="E19" s="31">
        <f>SUMIF('12.Char.Dir'!$A:$A,$A19,'12.Char.Dir'!R:R)</f>
        <v>2613600</v>
      </c>
    </row>
    <row r="20" spans="1:15">
      <c r="A20" s="28" t="str">
        <f>'11.Charges'!A25</f>
        <v>Frais indirects de vente de services</v>
      </c>
      <c r="B20" s="28">
        <f>'11.Charges'!B25</f>
        <v/>
      </c>
      <c r="C20" s="31">
        <f>SUMIF('12.Char.Dir'!$A:$A,$A20,'12.Char.Dir'!P:P)</f>
        <v>0</v>
      </c>
      <c r="D20" s="31">
        <f>SUMIF('12.Char.Dir'!$A:$A,$A20,'12.Char.Dir'!Q:Q)</f>
        <v>0</v>
      </c>
      <c r="E20" s="31">
        <f>SUMIF('12.Char.Dir'!$A:$A,$A20,'12.Char.Dir'!R:R)</f>
        <v>0</v>
      </c>
    </row>
    <row r="21" spans="1:15">
      <c r="A21" s="27" t="s">
        <v>352</v>
      </c>
      <c r="B21" s="27" t="s">
        <v>352</v>
      </c>
      <c r="C21" s="33">
        <f>SUM(C13:C20)</f>
        <v>18360000</v>
      </c>
      <c r="D21" s="33">
        <f>SUM(D13:D20)</f>
        <v>20196000</v>
      </c>
      <c r="E21" s="33">
        <f>SUM(E13:E20)</f>
        <v>22215600</v>
      </c>
    </row>
    <row r="22" spans="1:15">
      <c r="A22" s="29" t="s">
        <v>353</v>
      </c>
      <c r="B22" s="29" t="s">
        <v>353</v>
      </c>
      <c r="C22" s="33">
        <f>C11-C21</f>
        <v>15336000</v>
      </c>
      <c r="D22" s="33">
        <f>D11-D21</f>
        <v>16869600</v>
      </c>
      <c r="E22" s="33">
        <f>E11-E21</f>
        <v>18556560</v>
      </c>
    </row>
    <row r="23" spans="1:15">
      <c r="A23" s="27" t="s">
        <v>354</v>
      </c>
      <c r="B23" s="27" t="s">
        <v>354</v>
      </c>
      <c r="C23" s="31"/>
      <c r="D23" s="31"/>
      <c r="E23" s="31"/>
    </row>
    <row r="24" spans="1:15">
      <c r="A24" s="28" t="str">
        <f>'11.Charges'!A29</f>
        <v>Action commerciale</v>
      </c>
      <c r="B24" s="28" t="str">
        <f>'11.Charges'!B29</f>
        <v>Sponsoring page réseaux sociaux</v>
      </c>
      <c r="C24" s="31">
        <f>SUMIF('14.Char.Ind'!$A:$A,$A24,'14.Char.Ind'!P:P)</f>
        <v>1900000</v>
      </c>
      <c r="D24" s="31">
        <f>SUMIF('14.Char.Ind'!$A:$A,$A24,'14.Char.Ind'!Q:Q)</f>
        <v>1900000</v>
      </c>
      <c r="E24" s="31">
        <f>SUMIF('14.Char.Ind'!$A:$A,$A24,'14.Char.Ind'!R:R)</f>
        <v>1900000</v>
      </c>
    </row>
    <row r="25" spans="1:15">
      <c r="A25" s="28" t="str">
        <f>'11.Charges'!A30</f>
        <v>Frais Généraux </v>
      </c>
      <c r="B25" s="28" t="str">
        <f>'11.Charges'!B30</f>
        <v>Frais administration</v>
      </c>
      <c r="C25" s="31">
        <f>SUMIF('14.Char.Ind'!$A:$A,$A25,'14.Char.Ind'!P:P)</f>
        <v>300000</v>
      </c>
      <c r="D25" s="31">
        <f>SUMIF('14.Char.Ind'!$A:$A,$A25,'14.Char.Ind'!Q:Q)</f>
        <v>300000</v>
      </c>
      <c r="E25" s="31">
        <f>SUMIF('14.Char.Ind'!$A:$A,$A25,'14.Char.Ind'!R:R)</f>
        <v>300000</v>
      </c>
    </row>
    <row r="26" spans="1:15">
      <c r="A26" s="28" t="str">
        <f>'11.Charges'!A31</f>
        <v>Energie/Electricité/ Eau</v>
      </c>
      <c r="B26" s="28" t="str">
        <f>'11.Charges'!B31</f>
        <v>Eau</v>
      </c>
      <c r="C26" s="31">
        <f>SUMIF('14.Char.Ind'!$A:$A,$A26,'14.Char.Ind'!P:P)</f>
        <v>990000</v>
      </c>
      <c r="D26" s="31">
        <f>SUMIF('14.Char.Ind'!$A:$A,$A26,'14.Char.Ind'!Q:Q)</f>
        <v>990000</v>
      </c>
      <c r="E26" s="31">
        <f>SUMIF('14.Char.Ind'!$A:$A,$A26,'14.Char.Ind'!R:R)</f>
        <v>990000</v>
      </c>
    </row>
    <row r="27" spans="1:15">
      <c r="A27" s="28" t="str">
        <f>'11.Charges'!A32</f>
        <v>Frais de transport </v>
      </c>
      <c r="B27" s="28" t="str">
        <f>'11.Charges'!B32</f>
        <v>Carburant</v>
      </c>
      <c r="C27" s="31">
        <f>SUMIF('14.Char.Ind'!$A:$A,$A27,'14.Char.Ind'!P:P)</f>
        <v>600000</v>
      </c>
      <c r="D27" s="31">
        <f>SUMIF('14.Char.Ind'!$A:$A,$A27,'14.Char.Ind'!Q:Q)</f>
        <v>600000</v>
      </c>
      <c r="E27" s="31">
        <f>SUMIF('14.Char.Ind'!$A:$A,$A27,'14.Char.Ind'!R:R)</f>
        <v>600000</v>
      </c>
    </row>
    <row r="28" spans="1:15">
      <c r="A28" s="28" t="str">
        <f>'11.Charges'!A33</f>
        <v>Frais de communication</v>
      </c>
      <c r="B28" s="28" t="str">
        <f>'11.Charges'!B33</f>
        <v>Telephone / Internet</v>
      </c>
      <c r="C28" s="31">
        <f>SUMIF('14.Char.Ind'!$A:$A,$A28,'14.Char.Ind'!P:P)</f>
        <v>600000</v>
      </c>
      <c r="D28" s="31">
        <f>SUMIF('14.Char.Ind'!$A:$A,$A28,'14.Char.Ind'!Q:Q)</f>
        <v>600000</v>
      </c>
      <c r="E28" s="31">
        <f>SUMIF('14.Char.Ind'!$A:$A,$A28,'14.Char.Ind'!R:R)</f>
        <v>600000</v>
      </c>
    </row>
    <row r="29" spans="1:15">
      <c r="A29" s="28" t="str">
        <f>'11.Charges'!A34</f>
        <v>Publicité et Marketing </v>
      </c>
      <c r="B29" s="28">
        <f>'11.Charges'!B34</f>
        <v/>
      </c>
      <c r="C29" s="31">
        <f>SUMIF('14.Char.Ind'!$A:$A,$A29,'14.Char.Ind'!P:P)</f>
        <v>0</v>
      </c>
      <c r="D29" s="31">
        <f>SUMIF('14.Char.Ind'!$A:$A,$A29,'14.Char.Ind'!Q:Q)</f>
        <v>0</v>
      </c>
      <c r="E29" s="31">
        <f>SUMIF('14.Char.Ind'!$A:$A,$A29,'14.Char.Ind'!R:R)</f>
        <v>0</v>
      </c>
    </row>
    <row r="30" spans="1:15">
      <c r="A30" s="28" t="str">
        <f>'11.Charges'!A35</f>
        <v>Location</v>
      </c>
      <c r="B30" s="28" t="str">
        <f>'11.Charges'!B35</f>
        <v>Loyer</v>
      </c>
      <c r="C30" s="31">
        <f>SUMIF('14.Char.Ind'!$A:$A,$A30,'14.Char.Ind'!P:P)</f>
        <v>3000000</v>
      </c>
      <c r="D30" s="31">
        <f>SUMIF('14.Char.Ind'!$A:$A,$A30,'14.Char.Ind'!Q:Q)</f>
        <v>3000000</v>
      </c>
      <c r="E30" s="31">
        <f>SUMIF('14.Char.Ind'!$A:$A,$A30,'14.Char.Ind'!R:R)</f>
        <v>3000000</v>
      </c>
    </row>
    <row r="31" spans="1:15">
      <c r="A31" s="28" t="str">
        <f>'11.Charges'!A36</f>
        <v>Assurance</v>
      </c>
      <c r="B31" s="28" t="str">
        <f>'11.Charges'!B36</f>
        <v>Assurance voiture</v>
      </c>
      <c r="C31" s="31">
        <f>SUMIF('14.Char.Ind'!$A:$A,$A31,'14.Char.Ind'!P:P)</f>
        <v>144000</v>
      </c>
      <c r="D31" s="31">
        <f>SUMIF('14.Char.Ind'!$A:$A,$A31,'14.Char.Ind'!Q:Q)</f>
        <v>144000</v>
      </c>
      <c r="E31" s="31">
        <f>SUMIF('14.Char.Ind'!$A:$A,$A31,'14.Char.Ind'!R:R)</f>
        <v>144000</v>
      </c>
    </row>
    <row r="32" spans="1:15">
      <c r="A32" s="28" t="str">
        <f>'11.Charges'!A37</f>
        <v>Prestations et Honoraires </v>
      </c>
      <c r="B32" s="28" t="str">
        <f>'11.Charges'!B37</f>
        <v>Frais Infogérance</v>
      </c>
      <c r="C32" s="31">
        <f>SUMIF('14.Char.Ind'!$A:$A,$A32,'14.Char.Ind'!P:P)</f>
        <v>380000</v>
      </c>
      <c r="D32" s="31">
        <f>SUMIF('14.Char.Ind'!$A:$A,$A32,'14.Char.Ind'!Q:Q)</f>
        <v>380000</v>
      </c>
      <c r="E32" s="31">
        <f>SUMIF('14.Char.Ind'!$A:$A,$A32,'14.Char.Ind'!R:R)</f>
        <v>380000</v>
      </c>
    </row>
    <row r="33" spans="1:15">
      <c r="A33" s="28" t="str">
        <f>'11.Charges'!A38</f>
        <v>Autres provisions </v>
      </c>
      <c r="B33" s="28">
        <f>'11.Charges'!B38</f>
        <v/>
      </c>
      <c r="C33" s="31">
        <f>SUMIF('14.Char.Ind'!$A:$A,$A33,'14.Char.Ind'!P:P)</f>
        <v>0</v>
      </c>
      <c r="D33" s="31">
        <f>SUMIF('14.Char.Ind'!$A:$A,$A33,'14.Char.Ind'!Q:Q)</f>
        <v>0</v>
      </c>
      <c r="E33" s="31">
        <f>SUMIF('14.Char.Ind'!$A:$A,$A33,'14.Char.Ind'!R:R)</f>
        <v>0</v>
      </c>
    </row>
    <row r="34" spans="1:15">
      <c r="A34" s="28" t="str">
        <f>'11.Charges'!A27</f>
        <v>Taxe et redevance</v>
      </c>
      <c r="B34" s="28" t="str">
        <f>'11.Charges'!B27</f>
        <v>Timbre</v>
      </c>
      <c r="C34" s="31">
        <f>SUMIF('12.Char.Dir'!$A:$A,$A34,'12.Char.Dir'!P:P)</f>
        <v>161740.8</v>
      </c>
      <c r="D34" s="31">
        <f>SUMIF('12.Char.Dir'!$A:$A,$A34,'12.Char.Dir'!Q:Q)</f>
        <v>177914.88</v>
      </c>
      <c r="E34" s="31">
        <f>SUMIF('12.Char.Dir'!$A:$A,$A34,'12.Char.Dir'!R:R)</f>
        <v>195706.368</v>
      </c>
    </row>
    <row r="35" spans="1:15">
      <c r="A35" s="28" t="str">
        <f>'11.Charges'!A26</f>
        <v>Salaires et Avantages </v>
      </c>
      <c r="B35" s="28" t="str">
        <f>'11.Charges'!B26</f>
        <v>Salaire personnel</v>
      </c>
      <c r="C35" s="31">
        <f>SUMIF('12.Char.Dir'!$A:$A,$A35,'12.Char.Dir'!P:P)</f>
        <v>7413120</v>
      </c>
      <c r="D35" s="31">
        <f>SUMIF('12.Char.Dir'!$A:$A,$A35,'12.Char.Dir'!Q:Q)</f>
        <v>8154432</v>
      </c>
      <c r="E35" s="31">
        <f>SUMIF('12.Char.Dir'!$A:$A,$A35,'12.Char.Dir'!R:R)</f>
        <v>8969875.2</v>
      </c>
    </row>
    <row r="36" spans="1:15">
      <c r="A36" s="27" t="s">
        <v>355</v>
      </c>
      <c r="B36" s="27" t="s">
        <v>355</v>
      </c>
      <c r="C36" s="33">
        <f>SUM(C24:C35)</f>
        <v>15488860.8</v>
      </c>
      <c r="D36" s="33">
        <f>SUM(D24:D35)</f>
        <v>16246346.88</v>
      </c>
      <c r="E36" s="33">
        <f>SUM(E24:E35)</f>
        <v>17079581.568</v>
      </c>
    </row>
    <row r="37" spans="1:15" customHeight="1" ht="2.5"/>
    <row r="38" spans="1:15">
      <c r="A38" s="27" t="s">
        <v>356</v>
      </c>
      <c r="B38" s="27" t="s">
        <v>356</v>
      </c>
      <c r="C38" s="33">
        <f>C22-C36</f>
        <v>-152860.8</v>
      </c>
      <c r="D38" s="33">
        <f>D22-D36</f>
        <v>623253.12</v>
      </c>
      <c r="E38" s="33">
        <f>E22-E36</f>
        <v>1476978.432</v>
      </c>
    </row>
    <row r="39" spans="1:15">
      <c r="A39" s="28" t="s">
        <v>135</v>
      </c>
      <c r="B39" s="28" t="s">
        <v>135</v>
      </c>
      <c r="C39" s="31">
        <f>'12.Char.Dir'!P29+'14.Char.Ind'!P14</f>
        <v>1182729.6</v>
      </c>
      <c r="D39" s="31">
        <f>'12.Char.Dir'!Q29+'14.Char.Ind'!Q14</f>
        <v>1301002.56</v>
      </c>
      <c r="E39" s="31">
        <f>'12.Char.Dir'!R29+'14.Char.Ind'!R14</f>
        <v>1431102.816</v>
      </c>
    </row>
    <row r="40" spans="1:15">
      <c r="A40" s="28" t="s">
        <v>357</v>
      </c>
      <c r="B40" s="28" t="s">
        <v>357</v>
      </c>
      <c r="C40" s="31">
        <f>SUMIF('2.Cal.Amo.CT'!$G:$G,C$5,'2.Cal.Amo.CT'!$C:$C)+SUMIF('3.Cal.Amo.LT'!$A:$A,'16.CR'!C$5,'3.Cal.Amo.LT'!$C:$C)+SUMIF('4.Cal.Amo.AI'!$A:$A,'16.CR'!C$5,'4.Cal.Amo.AI'!$C:$C)</f>
        <v>2343354.9213467</v>
      </c>
      <c r="D40" s="31">
        <f>SUMIF('2.Cal.Amo.CT'!$G:$G,D$5,'2.Cal.Amo.CT'!$C:$C)+SUMIF('3.Cal.Amo.LT'!$A:$A,'16.CR'!D$5,'3.Cal.Amo.LT'!$C:$C)+SUMIF('4.Cal.Amo.AI'!$A:$A,'16.CR'!D$5,'4.Cal.Amo.AI'!$C:$C)</f>
        <v>1429448.8533907</v>
      </c>
      <c r="E40" s="31">
        <f>SUMIF('2.Cal.Amo.CT'!$G:$G,E$5,'2.Cal.Amo.CT'!$C:$C)+SUMIF('3.Cal.Amo.LT'!$A:$A,'16.CR'!E$5,'3.Cal.Amo.LT'!$C:$C)+SUMIF('4.Cal.Amo.AI'!$A:$A,'16.CR'!E$5,'4.Cal.Amo.AI'!$C:$C)</f>
        <v>745502.03358653</v>
      </c>
    </row>
    <row r="41" spans="1:15">
      <c r="A41" s="27" t="s">
        <v>358</v>
      </c>
      <c r="B41" s="27" t="s">
        <v>358</v>
      </c>
      <c r="C41" s="33">
        <f>C38-C39-C40</f>
        <v>-3678945.3213467</v>
      </c>
      <c r="D41" s="33">
        <f>D38-D39-D40</f>
        <v>-2107198.2933907</v>
      </c>
      <c r="E41" s="33">
        <f>E38-E39-E40</f>
        <v>-699626.41758653</v>
      </c>
    </row>
    <row r="42" spans="1:15">
      <c r="A42" s="28" t="s">
        <v>294</v>
      </c>
      <c r="B42" s="28" t="s">
        <v>294</v>
      </c>
      <c r="C42" s="31">
        <f>'12.Char.Dir'!P28</f>
        <v>1034467.2</v>
      </c>
      <c r="D42" s="31">
        <f>'12.Char.Dir'!Q28</f>
        <v>1137913.92</v>
      </c>
      <c r="E42" s="31">
        <f>'12.Char.Dir'!R28</f>
        <v>1251705.312</v>
      </c>
    </row>
    <row r="43" spans="1:15">
      <c r="A43" s="27" t="s">
        <v>359</v>
      </c>
      <c r="B43" s="27" t="s">
        <v>359</v>
      </c>
      <c r="C43" s="33">
        <f>C41-C42</f>
        <v>-4713412.5213467</v>
      </c>
      <c r="D43" s="33">
        <f>D41-D42</f>
        <v>-3245112.2133907</v>
      </c>
      <c r="E43" s="33">
        <f>E41-E42</f>
        <v>-1951331.7295865</v>
      </c>
    </row>
    <row r="44" spans="1:15">
      <c r="A44" s="27" t="s">
        <v>78</v>
      </c>
      <c r="B44" s="27" t="s">
        <v>78</v>
      </c>
      <c r="C44" s="91">
        <f>C43/C11</f>
        <v>-0.13988047606086</v>
      </c>
      <c r="D44" s="91">
        <f>D43/D11</f>
        <v>-0.087550510807614</v>
      </c>
      <c r="E44" s="91">
        <f>E43/E11</f>
        <v>-0.047859415090751</v>
      </c>
    </row>
    <row r="45" spans="1:15">
      <c r="A45" s="27" t="s">
        <v>360</v>
      </c>
      <c r="B45" s="27" t="s">
        <v>360</v>
      </c>
      <c r="C45" s="33">
        <f>C43+C39</f>
        <v>-3530682.9213467</v>
      </c>
      <c r="D45" s="33">
        <f>D43+D39</f>
        <v>-1944109.6533907</v>
      </c>
      <c r="E45" s="33">
        <f>E43+E39</f>
        <v>-520228.91358653</v>
      </c>
    </row>
    <row r="46" spans="1:15" customHeight="1" ht="15">
      <c r="C46" s="1"/>
      <c r="D46" s="1"/>
      <c r="E46" s="1"/>
    </row>
    <row r="47" spans="1:15" customHeight="1" ht="15">
      <c r="C47" s="1"/>
      <c r="D47" s="1"/>
      <c r="E47" s="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portrait" scale="100" fitToHeight="1" fitToWidth="1" pageOrder="downThenOver" r:id="rId1"/>
  <headerFooter differentOddEven="false" differentFirst="false" scaleWithDoc="true" alignWithMargins="true">
    <oddHeader/>
    <oddFooter/>
    <evenHeader/>
    <evenFooter/>
    <firstHeader/>
    <first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7030A0"/>
    <outlinePr summaryBelow="1" summaryRight="1"/>
  </sheetPr>
  <dimension ref="A1:G26"/>
  <sheetViews>
    <sheetView tabSelected="0" workbookViewId="0" showGridLines="true" showRowColHeaders="1" topLeftCell="A4">
      <selection activeCell="C7" sqref="C7"/>
    </sheetView>
  </sheetViews>
  <sheetFormatPr defaultRowHeight="14.4" outlineLevelRow="0" outlineLevelCol="0"/>
  <cols>
    <col min="1" max="1" width="42.33203125" customWidth="true" style="0"/>
    <col min="2" max="2" width="5.1640625" customWidth="true" style="0"/>
    <col min="3" max="3" width="9.5" customWidth="true" style="0"/>
    <col min="4" max="4" width="9.5" customWidth="true" style="0"/>
    <col min="5" max="5" width="9.5" customWidth="true" style="0"/>
  </cols>
  <sheetData>
    <row r="1" spans="1:7">
      <c r="A1" s="124" t="s">
        <v>361</v>
      </c>
      <c r="B1" s="124"/>
    </row>
    <row r="2" spans="1:7" customHeight="1" ht="16"/>
    <row r="3" spans="1:7" customHeight="1" ht="16">
      <c r="A3" s="41"/>
      <c r="B3" s="41"/>
      <c r="C3" s="42" t="s">
        <v>203</v>
      </c>
      <c r="D3" s="43"/>
      <c r="E3" s="44"/>
    </row>
    <row r="4" spans="1:7" customHeight="1" ht="16">
      <c r="A4" s="45" t="s">
        <v>156</v>
      </c>
      <c r="B4" s="127"/>
      <c r="C4" s="46" t="s">
        <v>144</v>
      </c>
      <c r="D4" s="47" t="s">
        <v>88</v>
      </c>
      <c r="E4" s="48" t="s">
        <v>89</v>
      </c>
    </row>
    <row r="5" spans="1:7" customHeight="1" ht="16">
      <c r="A5" s="49" t="s">
        <v>336</v>
      </c>
      <c r="B5" s="49" t="s">
        <v>240</v>
      </c>
      <c r="C5" s="50">
        <v>0</v>
      </c>
      <c r="D5" s="51">
        <f>C25</f>
        <v>-10426117.883672</v>
      </c>
      <c r="E5" s="52">
        <f>D25</f>
        <v>-19969636.645998</v>
      </c>
    </row>
    <row r="6" spans="1:7" customHeight="1" ht="16">
      <c r="A6" s="53" t="s">
        <v>158</v>
      </c>
      <c r="B6" s="53"/>
      <c r="C6" s="54"/>
      <c r="D6" s="55"/>
      <c r="E6" s="56"/>
    </row>
    <row r="7" spans="1:7" customHeight="1" ht="16">
      <c r="A7" s="84" t="s">
        <v>337</v>
      </c>
      <c r="B7" s="128"/>
      <c r="C7" s="71">
        <f>'1.Var.Fin'!B5+'1.Var.Fin'!B11+'1.Var.Fin'!B17</f>
        <v>26553200.8718</v>
      </c>
      <c r="D7" s="72"/>
      <c r="E7" s="73"/>
    </row>
    <row r="8" spans="1:7" customHeight="1" ht="16">
      <c r="A8" s="84" t="s">
        <v>338</v>
      </c>
      <c r="B8" s="128"/>
      <c r="C8" s="71">
        <f>'10.Vente'!P12</f>
        <v>33696000</v>
      </c>
      <c r="D8" s="72">
        <f>'10.Vente'!Q12</f>
        <v>37065600</v>
      </c>
      <c r="E8" s="73">
        <f>'10.Vente'!R12</f>
        <v>40772160</v>
      </c>
    </row>
    <row r="9" spans="1:7" customHeight="1" ht="16">
      <c r="A9" s="57" t="s">
        <v>159</v>
      </c>
      <c r="B9" s="62"/>
      <c r="C9" s="58">
        <f>SUM(C7:C8)</f>
        <v>60249200.8718</v>
      </c>
      <c r="D9" s="59">
        <f>SUM(D7:D8)</f>
        <v>37065600</v>
      </c>
      <c r="E9" s="60">
        <f>SUM(E7:E8)</f>
        <v>40772160</v>
      </c>
    </row>
    <row r="10" spans="1:7" customHeight="1" ht="16">
      <c r="A10" s="53" t="s">
        <v>160</v>
      </c>
      <c r="B10" s="53"/>
      <c r="C10" s="54"/>
      <c r="D10" s="55"/>
      <c r="E10" s="56"/>
    </row>
    <row r="11" spans="1:7" customHeight="1" ht="16">
      <c r="A11" s="61" t="s">
        <v>161</v>
      </c>
      <c r="B11" s="61"/>
      <c r="C11" s="58">
        <f>'7.Bud.Inv.'!E22</f>
        <v>22778200</v>
      </c>
      <c r="D11" s="59">
        <f>'7.Bud.Inv.'!F22</f>
        <v>0</v>
      </c>
      <c r="E11" s="60">
        <f>'7.Bud.Inv.'!P22</f>
        <v>0</v>
      </c>
    </row>
    <row r="12" spans="1:7" customHeight="1" ht="16">
      <c r="A12" s="53" t="s">
        <v>339</v>
      </c>
      <c r="B12" s="53"/>
      <c r="C12" s="54"/>
      <c r="D12" s="55"/>
      <c r="E12" s="56"/>
    </row>
    <row r="13" spans="1:7" customHeight="1" ht="16">
      <c r="A13" s="62" t="s">
        <v>340</v>
      </c>
      <c r="B13" s="62"/>
      <c r="C13" s="58">
        <f>SUM('12.Char.Dir'!P4:P25)</f>
        <v>18360000</v>
      </c>
      <c r="D13" s="59">
        <f>SUM('12.Char.Dir'!Q4:Q25)</f>
        <v>20196000</v>
      </c>
      <c r="E13" s="60">
        <f>SUM('12.Char.Dir'!R4:R25)</f>
        <v>22215600</v>
      </c>
    </row>
    <row r="14" spans="1:7" customHeight="1" ht="16">
      <c r="A14" s="63" t="s">
        <v>341</v>
      </c>
      <c r="B14" s="63"/>
      <c r="C14" s="64"/>
      <c r="D14" s="65"/>
      <c r="E14" s="66"/>
    </row>
    <row r="15" spans="1:7">
      <c r="A15" s="67" t="s">
        <v>342</v>
      </c>
      <c r="B15" s="67"/>
      <c r="C15" s="68">
        <f>SUM('14.Char.Ind'!P4:P13)</f>
        <v>7914000</v>
      </c>
      <c r="D15" s="69">
        <f>SUM('14.Char.Ind'!Q4:Q13)</f>
        <v>7914000</v>
      </c>
      <c r="E15" s="70">
        <f>SUM('14.Char.Ind'!R4:R13)</f>
        <v>7914000</v>
      </c>
    </row>
    <row r="16" spans="1:7">
      <c r="A16" s="67" t="s">
        <v>343</v>
      </c>
      <c r="B16" s="67"/>
      <c r="C16" s="68">
        <f>SUM('12.Char.Dir'!P26)</f>
        <v>7413120</v>
      </c>
      <c r="D16" s="69">
        <f>SUM('12.Char.Dir'!Q26)</f>
        <v>8154432</v>
      </c>
      <c r="E16" s="70">
        <f>SUM('12.Char.Dir'!R26)</f>
        <v>8969875.2</v>
      </c>
    </row>
    <row r="17" spans="1:7" customHeight="1" ht="16">
      <c r="A17" s="67" t="s">
        <v>344</v>
      </c>
      <c r="B17" s="67"/>
      <c r="C17" s="68">
        <f>SUM('12.Char.Dir'!P27:P28)</f>
        <v>1196208</v>
      </c>
      <c r="D17" s="69">
        <f>SUM('12.Char.Dir'!Q27:Q28)</f>
        <v>1315828.8</v>
      </c>
      <c r="E17" s="70">
        <f>SUM('12.Char.Dir'!R27:R28)</f>
        <v>1447411.68</v>
      </c>
    </row>
    <row r="18" spans="1:7" customHeight="1" ht="16">
      <c r="A18" s="62" t="s">
        <v>345</v>
      </c>
      <c r="B18" s="62"/>
      <c r="C18" s="58">
        <f>SUM(C15:C17)</f>
        <v>16523328</v>
      </c>
      <c r="D18" s="59">
        <f>SUM(D15:D17)</f>
        <v>17384260.8</v>
      </c>
      <c r="E18" s="60">
        <f>SUM(E15:E17)</f>
        <v>18331286.88</v>
      </c>
    </row>
    <row r="19" spans="1:7">
      <c r="A19" s="74" t="s">
        <v>168</v>
      </c>
      <c r="B19" s="74"/>
      <c r="C19" s="71">
        <f>SUMIF('2.Cal.Amo.CT'!$G:$G,C$4,'2.Cal.Amo.CT'!$E:$E)</f>
        <v>3698500.8718</v>
      </c>
      <c r="D19" s="72">
        <f>SUMIF('2.Cal.Amo.CT'!$G:$G,D$4,'2.Cal.Amo.CT'!$E:$E)</f>
        <v>0</v>
      </c>
      <c r="E19" s="73">
        <f>SUMIF('2.Cal.Amo.CT'!$G:$G,E$4,'2.Cal.Amo.CT'!$E:$E)</f>
        <v>0</v>
      </c>
    </row>
    <row r="20" spans="1:7">
      <c r="A20" s="74" t="s">
        <v>169</v>
      </c>
      <c r="B20" s="74"/>
      <c r="C20" s="71">
        <f>SUMIF('2.Cal.Amo.CT'!$G:$G,C$4,'2.Cal.Amo.CT'!$C:$C)</f>
        <v>286431.92134667</v>
      </c>
      <c r="D20" s="72">
        <f>SUMIF('2.Cal.Amo.CT'!$G:$G,D$4,'2.Cal.Amo.CT'!$C:$C)</f>
        <v>0</v>
      </c>
      <c r="E20" s="73">
        <f>SUMIF('2.Cal.Amo.CT'!$G:$G,E$4,'2.Cal.Amo.CT'!$C:$C)</f>
        <v>0</v>
      </c>
    </row>
    <row r="21" spans="1:7">
      <c r="A21" s="74" t="s">
        <v>170</v>
      </c>
      <c r="B21" s="74"/>
      <c r="C21" s="71">
        <f>(SUMIF('3.Cal.Amo.LT'!$A:$A,C$4,'3.Cal.Amo.LT'!$E:$E)+SUMIF('4.Cal.Amo.AI'!$A:$A,C$4,'4.Cal.Amo.AI'!$E:$E))</f>
        <v>6971934.9623257</v>
      </c>
      <c r="D21" s="72">
        <f>(SUMIF('3.Cal.Amo.LT'!$A:$A,D$4,'3.Cal.Amo.LT'!$E:$E)+SUMIF('4.Cal.Amo.AI'!$A:$A,D$4,'4.Cal.Amo.AI'!$E:$E))</f>
        <v>7599409.108935</v>
      </c>
      <c r="E21" s="73">
        <f>(SUMIF('3.Cal.Amo.LT'!$A:$A,E$4,'3.Cal.Amo.LT'!$E:$E)+SUMIF('4.Cal.Amo.AI'!$A:$A,E$4,'4.Cal.Amo.AI'!$E:$E))</f>
        <v>8283355.9287392</v>
      </c>
    </row>
    <row r="22" spans="1:7" customHeight="1" ht="16">
      <c r="A22" s="74" t="s">
        <v>171</v>
      </c>
      <c r="B22" s="74"/>
      <c r="C22" s="71">
        <f>(SUMIF('3.Cal.Amo.LT'!$A:$A,C$4,'3.Cal.Amo.LT'!$C:$C)+SUMIF('4.Cal.Amo.AI'!$A:$A,C$4,'4.Cal.Amo.AI'!$C:$C))</f>
        <v>2056923</v>
      </c>
      <c r="D22" s="72">
        <f>(SUMIF('3.Cal.Amo.LT'!$A:$A,D$4,'3.Cal.Amo.LT'!$C:$C)+SUMIF('4.Cal.Amo.AI'!$A:$A,D$4,'4.Cal.Amo.AI'!$C:$C))</f>
        <v>1429448.8533907</v>
      </c>
      <c r="E22" s="73">
        <f>(SUMIF('3.Cal.Amo.LT'!$A:$A,E$4,'3.Cal.Amo.LT'!$C:$C)+SUMIF('4.Cal.Amo.AI'!$A:$A,E$4,'4.Cal.Amo.AI'!$C:$C))</f>
        <v>745502.03358653</v>
      </c>
    </row>
    <row r="23" spans="1:7" customHeight="1" ht="16">
      <c r="A23" s="62" t="s">
        <v>172</v>
      </c>
      <c r="B23" s="62"/>
      <c r="C23" s="58">
        <f>SUM(C19:C22)</f>
        <v>13013790.755472</v>
      </c>
      <c r="D23" s="59">
        <f>SUM(D19:D22)</f>
        <v>9028857.9623257</v>
      </c>
      <c r="E23" s="60">
        <f>SUM(E19:E22)</f>
        <v>9028857.9623257</v>
      </c>
    </row>
    <row r="24" spans="1:7">
      <c r="A24" s="75" t="s">
        <v>173</v>
      </c>
      <c r="B24" s="129"/>
      <c r="C24" s="76">
        <f>C11+C13+C18+C23</f>
        <v>70675318.755472</v>
      </c>
      <c r="D24" s="76">
        <f>D11+D13+D18+D23</f>
        <v>46609118.762326</v>
      </c>
      <c r="E24" s="76">
        <f>E11+E13+E18+E23</f>
        <v>49575744.842326</v>
      </c>
      <c r="G24" t="s">
        <v>362</v>
      </c>
    </row>
    <row r="25" spans="1:7" customHeight="1" ht="16">
      <c r="A25" s="80" t="s">
        <v>346</v>
      </c>
      <c r="B25" s="80"/>
      <c r="C25" s="81">
        <f>C5+C9-C24</f>
        <v>-10426117.883672</v>
      </c>
      <c r="D25" s="82">
        <f>D5+D9-D24</f>
        <v>-19969636.645998</v>
      </c>
      <c r="E25" s="83">
        <f>E5+E9-E24</f>
        <v>-28773221.488324</v>
      </c>
    </row>
    <row r="26" spans="1:7" customHeight="1" ht="16"/>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C25:E25">
    <cfRule type="cellIs" dxfId="0" priority="1" operator="lessThanOrEqual">
      <formula>0</formula>
    </cfRule>
  </conditionalFormatting>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7030A0"/>
    <outlinePr summaryBelow="1" summaryRight="1"/>
  </sheetPr>
  <dimension ref="A1:J15"/>
  <sheetViews>
    <sheetView tabSelected="0" workbookViewId="0" showGridLines="true" showRowColHeaders="1">
      <selection activeCell="F15" sqref="F15"/>
    </sheetView>
  </sheetViews>
  <sheetFormatPr defaultRowHeight="14.4" outlineLevelRow="0" outlineLevelCol="0"/>
  <cols>
    <col min="3" max="3" width="11.83203125" customWidth="true" style="0"/>
    <col min="5" max="5" width="19.1640625" customWidth="true" style="0"/>
    <col min="6" max="6" width="14.1640625" customWidth="true" style="0"/>
    <col min="7" max="7" width="12.5" customWidth="true" style="0"/>
    <col min="9" max="9" width="17.1640625" customWidth="true" style="0"/>
    <col min="10" max="10" width="7" customWidth="true" style="0"/>
  </cols>
  <sheetData>
    <row r="1" spans="1:10">
      <c r="A1" s="124" t="s">
        <v>363</v>
      </c>
    </row>
    <row r="4" spans="1:10">
      <c r="B4" s="87" t="s">
        <v>364</v>
      </c>
      <c r="C4" s="87" t="s">
        <v>365</v>
      </c>
      <c r="D4" s="87" t="s">
        <v>366</v>
      </c>
      <c r="E4" s="87" t="s">
        <v>367</v>
      </c>
      <c r="F4" s="87" t="s">
        <v>368</v>
      </c>
      <c r="G4" s="87" t="s">
        <v>369</v>
      </c>
    </row>
    <row r="5" spans="1:10">
      <c r="B5" s="88">
        <v>0</v>
      </c>
      <c r="C5" s="88">
        <f>-'17.Tre.An'!C7</f>
        <v>-26553200.8718</v>
      </c>
      <c r="D5" s="88"/>
      <c r="E5" s="88">
        <f>C5+D5</f>
        <v>-26553200.8718</v>
      </c>
      <c r="F5" s="88">
        <f>E5/(1+$J$5)^$B5</f>
        <v>-26553200.8718</v>
      </c>
      <c r="G5" s="88">
        <f>F5</f>
        <v>-26553200.8718</v>
      </c>
      <c r="I5" s="92" t="s">
        <v>370</v>
      </c>
      <c r="J5" s="93">
        <v>0.1</v>
      </c>
    </row>
    <row r="6" spans="1:10">
      <c r="B6" s="88">
        <v>1</v>
      </c>
      <c r="C6" s="88">
        <f>-'17.Tre.An'!D7</f>
        <v>0</v>
      </c>
      <c r="D6" s="88">
        <f>TRANSPOSE('16.CR'!C45:E45)</f>
        <v>-3530682.9213467</v>
      </c>
      <c r="E6" s="88">
        <f>C6+D6</f>
        <v>-3530682.9213467</v>
      </c>
      <c r="F6" s="88">
        <f>E6/(1+$J$5)^$B6</f>
        <v>-3209711.7466788</v>
      </c>
      <c r="G6" s="88">
        <f>F6+G5</f>
        <v>-29762912.618479</v>
      </c>
    </row>
    <row r="7" spans="1:10">
      <c r="B7" s="88">
        <v>2</v>
      </c>
      <c r="C7" s="88">
        <f>-'17.Tre.An'!E7</f>
        <v>0</v>
      </c>
      <c r="D7" s="88" t="e">
        <v>#VALUE!</v>
      </c>
      <c r="E7" s="88" t="e">
        <f>C7+D7</f>
        <v>#VALUE!</v>
      </c>
      <c r="F7" s="88" t="e">
        <f>E7/(1+$J$5)^$B7</f>
        <v>#VALUE!</v>
      </c>
      <c r="G7" s="88" t="e">
        <f>F7+G6</f>
        <v>#VALUE!</v>
      </c>
    </row>
    <row r="8" spans="1:10">
      <c r="B8" s="88">
        <v>3</v>
      </c>
      <c r="C8" s="88"/>
      <c r="D8" s="88" t="e">
        <v>#VALUE!</v>
      </c>
      <c r="E8" s="88" t="e">
        <f>C8+D8</f>
        <v>#VALUE!</v>
      </c>
      <c r="F8" s="88" t="e">
        <f>E8/(1+$J$5)^$B8</f>
        <v>#VALUE!</v>
      </c>
      <c r="G8" s="88" t="e">
        <f>F8+G7</f>
        <v>#VALUE!</v>
      </c>
    </row>
    <row r="9" spans="1:10">
      <c r="B9" s="88">
        <v>4</v>
      </c>
      <c r="C9" s="88"/>
      <c r="D9" s="88" t="e">
        <f>D8</f>
        <v>#VALUE!</v>
      </c>
      <c r="E9" s="88" t="e">
        <f>C9+D9</f>
        <v>#VALUE!</v>
      </c>
      <c r="F9" s="88" t="e">
        <f>E9/(1+$J$5)^$B9</f>
        <v>#VALUE!</v>
      </c>
      <c r="G9" s="88" t="e">
        <f>F9+G8</f>
        <v>#VALUE!</v>
      </c>
    </row>
    <row r="10" spans="1:10">
      <c r="B10" s="88">
        <v>5</v>
      </c>
      <c r="C10" s="88"/>
      <c r="D10" s="88" t="e">
        <f>D9</f>
        <v>#VALUE!</v>
      </c>
      <c r="E10" s="88" t="e">
        <f>C10+D10</f>
        <v>#VALUE!</v>
      </c>
      <c r="F10" s="88" t="e">
        <f>E10/(1+$J$5)^$B10</f>
        <v>#VALUE!</v>
      </c>
      <c r="G10" s="88" t="e">
        <f>F10+G9</f>
        <v>#VALUE!</v>
      </c>
    </row>
    <row r="11" spans="1:10">
      <c r="B11" s="90"/>
      <c r="C11" s="90"/>
      <c r="D11" s="90"/>
      <c r="E11" s="92" t="s">
        <v>371</v>
      </c>
      <c r="F11" s="89" t="e">
        <f>SUM(F5:F10)</f>
        <v>#VALUE!</v>
      </c>
      <c r="G11" s="89"/>
    </row>
    <row r="12" spans="1:10">
      <c r="B12" s="90"/>
      <c r="C12" s="90"/>
      <c r="D12" s="90"/>
      <c r="E12" s="92" t="s">
        <v>372</v>
      </c>
      <c r="F12" s="94" t="e">
        <f>IRR(G5:G10)</f>
        <v>#VALUE!</v>
      </c>
      <c r="G12" s="89"/>
    </row>
    <row r="13" spans="1:10">
      <c r="B13" s="90"/>
      <c r="C13" s="90"/>
      <c r="D13" s="90"/>
      <c r="E13" s="92" t="s">
        <v>373</v>
      </c>
      <c r="F13" s="89"/>
      <c r="G13" s="89"/>
    </row>
    <row r="15" spans="1:10">
      <c r="F15" t="s">
        <v>374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7030A0"/>
    <outlinePr summaryBelow="1" summaryRight="1"/>
  </sheetPr>
  <dimension ref="A1:G21"/>
  <sheetViews>
    <sheetView tabSelected="0" workbookViewId="0" showGridLines="true" showRowColHeaders="1">
      <selection activeCell="D11" sqref="D11"/>
    </sheetView>
  </sheetViews>
  <sheetFormatPr defaultRowHeight="14.4" outlineLevelRow="0" outlineLevelCol="0"/>
  <cols>
    <col min="2" max="2" width="26.5" customWidth="true" style="0"/>
    <col min="3" max="3" width="10.83203125" customWidth="true" style="0"/>
    <col min="4" max="4" width="12.5" customWidth="true" style="0"/>
    <col min="5" max="5" width="12.5" customWidth="true" style="0"/>
  </cols>
  <sheetData>
    <row r="1" spans="1:7">
      <c r="A1" s="124" t="s">
        <v>375</v>
      </c>
    </row>
    <row r="3" spans="1:7">
      <c r="B3" s="24" t="s">
        <v>177</v>
      </c>
      <c r="C3" s="95" t="s">
        <v>144</v>
      </c>
      <c r="D3" s="96" t="s">
        <v>88</v>
      </c>
      <c r="E3" s="96" t="s">
        <v>89</v>
      </c>
    </row>
    <row r="4" spans="1:7">
      <c r="B4" s="97" t="s">
        <v>376</v>
      </c>
      <c r="C4" s="98"/>
      <c r="D4" s="99"/>
      <c r="E4" s="99"/>
    </row>
    <row r="5" spans="1:7">
      <c r="B5" s="26"/>
      <c r="C5" s="100" t="s">
        <v>178</v>
      </c>
      <c r="D5" s="100" t="s">
        <v>178</v>
      </c>
      <c r="E5" s="100" t="s">
        <v>178</v>
      </c>
    </row>
    <row r="6" spans="1:7">
      <c r="B6" s="101" t="s">
        <v>377</v>
      </c>
      <c r="C6" s="102">
        <f>SUM('7.Bud.Inv.'!$Q22:Q22)-'12.Char.Dir'!P29-'14.Char.Ind'!P14</f>
        <v>21595470.4</v>
      </c>
      <c r="D6" s="102">
        <f>C6-'12.Char.Dir'!Q29-'14.Char.Ind'!Q14</f>
        <v>20294467.84</v>
      </c>
      <c r="E6" s="102">
        <f>D6-'12.Char.Dir'!R29-'14.Char.Ind'!R14</f>
        <v>18863365.024</v>
      </c>
      <c r="G6" t="s">
        <v>378</v>
      </c>
    </row>
    <row r="7" spans="1:7">
      <c r="B7" s="101" t="s">
        <v>379</v>
      </c>
      <c r="C7" s="102">
        <f>'17.Tre.An'!C25</f>
        <v>-10426117.883672</v>
      </c>
      <c r="D7" s="102">
        <f>'17.Tre.An'!D25</f>
        <v>-19969636.645998</v>
      </c>
      <c r="E7" s="102">
        <f>'17.Tre.An'!E25</f>
        <v>-28773221.488324</v>
      </c>
    </row>
    <row r="8" spans="1:7">
      <c r="B8" s="101" t="s">
        <v>66</v>
      </c>
      <c r="C8" s="102">
        <f>C7+C6</f>
        <v>11169352.516328</v>
      </c>
      <c r="D8" s="102">
        <f>D7+D6</f>
        <v>324831.19400189</v>
      </c>
      <c r="E8" s="102">
        <f>E7+E6</f>
        <v>-9909856.4643238</v>
      </c>
    </row>
    <row r="9" spans="1:7">
      <c r="B9" s="97" t="s">
        <v>380</v>
      </c>
      <c r="C9" s="104"/>
      <c r="D9" s="104"/>
      <c r="E9" s="104"/>
    </row>
    <row r="10" spans="1:7">
      <c r="B10" s="26"/>
      <c r="C10" s="100" t="s">
        <v>178</v>
      </c>
      <c r="D10" s="100" t="s">
        <v>178</v>
      </c>
      <c r="E10" s="100" t="s">
        <v>178</v>
      </c>
    </row>
    <row r="11" spans="1:7">
      <c r="B11" s="105" t="s">
        <v>381</v>
      </c>
      <c r="C11" s="102">
        <f>SUM(C12:C14)</f>
        <v>-4713412.5213467</v>
      </c>
      <c r="D11" s="102">
        <f>SUM(D12:D14)</f>
        <v>-7958524.7347373</v>
      </c>
      <c r="E11" s="102">
        <f>SUM(E12:E14)</f>
        <v>-9909856.4643239</v>
      </c>
    </row>
    <row r="12" spans="1:7">
      <c r="B12" s="106" t="s">
        <v>382</v>
      </c>
      <c r="C12" s="107">
        <f>'16.CR'!C45-'16.CR'!C39</f>
        <v>-4713412.5213467</v>
      </c>
      <c r="D12" s="107">
        <f>'16.CR'!D45-'16.CR'!D39</f>
        <v>-3245112.2133907</v>
      </c>
      <c r="E12" s="107">
        <f>'16.CR'!E45-'16.CR'!E39</f>
        <v>-1951331.7295865</v>
      </c>
    </row>
    <row r="13" spans="1:7" customHeight="1" ht="17.5">
      <c r="B13" s="106" t="s">
        <v>383</v>
      </c>
      <c r="C13" s="103">
        <f>IF('1.Var.Fin'!B$19&lt;=0,'1.Var.Fin'!B$17,0)</f>
        <v>0</v>
      </c>
      <c r="D13" s="103">
        <f>IF('1.Var.Fin'!C$19&lt;=0,'1.Var.Fin'!C$17,0)</f>
        <v>0</v>
      </c>
      <c r="E13" s="103">
        <f>IF('1.Var.Fin'!D$19&lt;=0,'1.Var.Fin'!D$17,0)</f>
        <v>0</v>
      </c>
    </row>
    <row r="14" spans="1:7">
      <c r="B14" s="106" t="s">
        <v>384</v>
      </c>
      <c r="C14" s="103">
        <v>0</v>
      </c>
      <c r="D14" s="103">
        <f>C14+C12</f>
        <v>-4713412.5213467</v>
      </c>
      <c r="E14" s="103">
        <f>D14+D12</f>
        <v>-7958524.7347373</v>
      </c>
    </row>
    <row r="15" spans="1:7">
      <c r="B15" s="105" t="s">
        <v>385</v>
      </c>
      <c r="C15" s="102">
        <f>SUM(C16:C16)</f>
        <v>15882765.037674</v>
      </c>
      <c r="D15" s="102">
        <f>SUM(D16:D16)</f>
        <v>8283355.9287392</v>
      </c>
      <c r="E15" s="102">
        <f>SUM(E16:E16)</f>
        <v>2.6077032089233E-8</v>
      </c>
    </row>
    <row r="16" spans="1:7">
      <c r="B16" s="106" t="s">
        <v>386</v>
      </c>
      <c r="C16" s="103">
        <f>'1.Var.Fin'!$B$5-SUM('17.Tre.An'!$C21:C21)</f>
        <v>15882765.037674</v>
      </c>
      <c r="D16" s="103">
        <f>'1.Var.Fin'!$B$5-SUM('17.Tre.An'!$C21:D21)</f>
        <v>8283355.9287392</v>
      </c>
      <c r="E16" s="103">
        <f>'1.Var.Fin'!$B$5-SUM('17.Tre.An'!$C21:E21)</f>
        <v>2.6077032089233E-8</v>
      </c>
    </row>
    <row r="17" spans="1:7">
      <c r="B17" s="105" t="s">
        <v>387</v>
      </c>
      <c r="C17" s="102">
        <v>0</v>
      </c>
      <c r="D17" s="102">
        <v>0</v>
      </c>
      <c r="E17" s="102">
        <v>0</v>
      </c>
    </row>
    <row r="18" spans="1:7">
      <c r="B18" s="101" t="s">
        <v>66</v>
      </c>
      <c r="C18" s="102">
        <f>C17+C15+C11</f>
        <v>11169352.516328</v>
      </c>
      <c r="D18" s="102">
        <f>D17+D15+D11</f>
        <v>324831.19400188</v>
      </c>
      <c r="E18" s="102">
        <f>E17+E15+E11</f>
        <v>-9909856.4643239</v>
      </c>
    </row>
    <row r="20" spans="1:7">
      <c r="C20" s="2">
        <f>C18-C8</f>
        <v>-1.4901161193848E-8</v>
      </c>
      <c r="D20" s="2">
        <f>D18-D8</f>
        <v>-1.862645149231E-8</v>
      </c>
      <c r="E20" s="2">
        <f>E18-E8</f>
        <v>-2.4214386940002E-8</v>
      </c>
    </row>
    <row r="21" spans="1:7">
      <c r="E21" s="2">
        <f>E20-D20</f>
        <v>-5.5879354476929E-9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legacyDrawing r:id="rId_comments_vml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7030A0"/>
    <outlinePr summaryBelow="1" summaryRight="1"/>
  </sheetPr>
  <dimension ref="A1:O47"/>
  <sheetViews>
    <sheetView tabSelected="0" workbookViewId="0" zoomScale="85" zoomScaleNormal="85" showGridLines="true" showRowColHeaders="1" topLeftCell="A19">
      <selection activeCell="F34" sqref="F34"/>
    </sheetView>
  </sheetViews>
  <sheetFormatPr defaultRowHeight="14.4" defaultColWidth="10.83203125" outlineLevelRow="0" outlineLevelCol="0"/>
  <cols>
    <col min="1" max="1" width="37.33203125" customWidth="true" style="24"/>
    <col min="2" max="2" width="21.33203125" customWidth="true" style="24"/>
    <col min="3" max="3" width="10.83203125" style="1"/>
    <col min="4" max="4" width="10.83203125" style="1"/>
    <col min="5" max="5" width="10.83203125" style="1"/>
    <col min="6" max="6" width="13.5" customWidth="true" style="24"/>
    <col min="7" max="7" width="12.5" customWidth="true" style="24"/>
    <col min="8" max="8" width="11.6640625" customWidth="true" style="24"/>
    <col min="9" max="9" width="10.83203125" style="24"/>
    <col min="10" max="10" width="13.5" customWidth="true" style="24"/>
    <col min="11" max="11" width="10.83203125" style="24"/>
    <col min="12" max="12" width="11" customWidth="true" style="24"/>
    <col min="13" max="13" width="10.83203125" style="24"/>
    <col min="14" max="14" width="11.6640625" customWidth="true" style="24"/>
    <col min="15" max="15" width="10.83203125" style="24"/>
  </cols>
  <sheetData>
    <row r="1" spans="1:15" customHeight="1" ht="14">
      <c r="A1" s="124" t="s">
        <v>388</v>
      </c>
      <c r="B1" s="124"/>
    </row>
    <row r="2" spans="1:15" customHeight="1" ht="16">
      <c r="A2" s="38"/>
      <c r="B2" s="38"/>
      <c r="C2" s="39"/>
      <c r="D2" s="39"/>
      <c r="E2" s="39"/>
    </row>
    <row r="3" spans="1:15" customHeight="1" ht="15" s="25" customFormat="1">
      <c r="A3" s="27"/>
      <c r="B3" s="27" t="s">
        <v>349</v>
      </c>
      <c r="C3" s="246" t="s">
        <v>144</v>
      </c>
      <c r="D3" s="246" t="s">
        <v>88</v>
      </c>
      <c r="E3" s="246" t="s">
        <v>89</v>
      </c>
      <c r="H3" s="230"/>
      <c r="I3" s="230"/>
    </row>
    <row r="4" spans="1:15" customHeight="1" ht="15">
      <c r="A4" s="28" t="str">
        <f>'8.Prod'!A4</f>
        <v>Ventes de marchandises</v>
      </c>
      <c r="B4" s="28" t="str">
        <f>'8.Prod'!B4</f>
        <v>CA de Tenue de luxe Homme</v>
      </c>
      <c r="C4" s="31">
        <f>SUMIF('10.Vente'!$A:$A,'20.CR IFRS'!$A4,'10.Vente'!P:P)</f>
        <v>33696000</v>
      </c>
      <c r="D4" s="31">
        <f>SUMIF('10.Vente'!$A:$A,'20.CR IFRS'!$A4,'10.Vente'!Q:Q)</f>
        <v>37065600</v>
      </c>
      <c r="E4" s="31">
        <f>SUMIF('10.Vente'!$A:$A,'20.CR IFRS'!$A4,'10.Vente'!R:R)</f>
        <v>40772160</v>
      </c>
      <c r="H4" s="24"/>
      <c r="I4" s="24"/>
    </row>
    <row r="5" spans="1:15" customHeight="1" ht="15">
      <c r="A5" s="28" t="str">
        <f>'8.Prod'!A8</f>
        <v>Ventes de produits fabriqués</v>
      </c>
      <c r="B5" s="28">
        <f>'8.Prod'!B8</f>
        <v/>
      </c>
      <c r="C5" s="31">
        <f>SUMIF('10.Vente'!$A:$A,'20.CR IFRS'!$A5,'10.Vente'!P:P)</f>
        <v>0</v>
      </c>
      <c r="D5" s="31">
        <f>SUMIF('10.Vente'!$A:$A,'20.CR IFRS'!$A5,'10.Vente'!Q:Q)</f>
        <v>0</v>
      </c>
      <c r="E5" s="31">
        <f>SUMIF('10.Vente'!$A:$A,'20.CR IFRS'!$A5,'10.Vente'!R:R)</f>
        <v>0</v>
      </c>
      <c r="H5" s="24"/>
      <c r="I5" s="24"/>
    </row>
    <row r="6" spans="1:15" customHeight="1" ht="15">
      <c r="A6" s="28" t="str">
        <f>'8.Prod'!A9</f>
        <v>Vente de services</v>
      </c>
      <c r="B6" s="28">
        <f>'8.Prod'!B9</f>
        <v/>
      </c>
      <c r="C6" s="31">
        <f>SUMIF('10.Vente'!$A:$A,'20.CR IFRS'!$A6,'10.Vente'!P:P)</f>
        <v>0</v>
      </c>
      <c r="D6" s="31">
        <f>SUMIF('10.Vente'!$A:$A,'20.CR IFRS'!$A6,'10.Vente'!Q:Q)</f>
        <v>0</v>
      </c>
      <c r="E6" s="31">
        <f>SUMIF('10.Vente'!$A:$A,'20.CR IFRS'!$A6,'10.Vente'!R:R)</f>
        <v>0</v>
      </c>
      <c r="H6" s="24"/>
      <c r="I6" s="24"/>
    </row>
    <row r="7" spans="1:15" customHeight="1" ht="15">
      <c r="A7" s="28" t="str">
        <f>'8.Prod'!A10</f>
        <v>Ventes d'autre produits</v>
      </c>
      <c r="B7" s="28">
        <f>'8.Prod'!B10</f>
        <v/>
      </c>
      <c r="C7" s="31">
        <f>SUMIF('10.Vente'!$A:$A,'20.CR IFRS'!$A7,'10.Vente'!P:P)</f>
        <v>0</v>
      </c>
      <c r="D7" s="31">
        <f>SUMIF('10.Vente'!$A:$A,'20.CR IFRS'!$A7,'10.Vente'!Q:Q)</f>
        <v>0</v>
      </c>
      <c r="E7" s="31">
        <f>SUMIF('10.Vente'!$A:$A,'20.CR IFRS'!$A7,'10.Vente'!R:R)</f>
        <v>0</v>
      </c>
      <c r="H7" s="24"/>
      <c r="I7" s="24"/>
    </row>
    <row r="8" spans="1:15" customHeight="1" ht="15">
      <c r="A8" s="27" t="s">
        <v>389</v>
      </c>
      <c r="B8" s="27" t="s">
        <v>389</v>
      </c>
      <c r="C8" s="31">
        <f>SUM(C4:C7)</f>
        <v>33696000</v>
      </c>
      <c r="D8" s="31">
        <f>SUM(D4:D7)</f>
        <v>37065600</v>
      </c>
      <c r="E8" s="31">
        <f>SUM(E4:E7)</f>
        <v>40772160</v>
      </c>
      <c r="H8" s="24"/>
      <c r="I8" s="24"/>
    </row>
    <row r="9" spans="1:15" customHeight="1" ht="15">
      <c r="A9" s="28" t="str">
        <f>'11.Charges'!A4</f>
        <v>Achat de marchandises</v>
      </c>
      <c r="B9" s="28" t="str">
        <f>'11.Charges'!B4</f>
        <v>Achat de Tenue de luxe Homme</v>
      </c>
      <c r="C9" s="31">
        <f>SUMIF('12.Char.Dir'!$A:$A,'20.CR IFRS'!$A9,'12.Char.Dir'!P:P)</f>
        <v>16200000</v>
      </c>
      <c r="D9" s="31">
        <f>SUMIF('12.Char.Dir'!$A:$A,'20.CR IFRS'!$A9,'12.Char.Dir'!Q:Q)</f>
        <v>17820000</v>
      </c>
      <c r="E9" s="31">
        <f>SUMIF('12.Char.Dir'!$A:$A,'20.CR IFRS'!$A9,'12.Char.Dir'!R:R)</f>
        <v>19602000</v>
      </c>
      <c r="H9" s="24"/>
      <c r="I9" s="24"/>
    </row>
    <row r="10" spans="1:15" customHeight="1" ht="15">
      <c r="A10" s="28" t="str">
        <f>'11.Charges'!A8</f>
        <v>Achat de MP</v>
      </c>
      <c r="B10" s="28">
        <f>'11.Charges'!B8</f>
        <v/>
      </c>
      <c r="C10" s="31">
        <f>SUMIF('12.Char.Dir'!$A:$A,'20.CR IFRS'!$A10,'12.Char.Dir'!P:P)</f>
        <v>0</v>
      </c>
      <c r="D10" s="31">
        <f>SUMIF('12.Char.Dir'!$A:$A,'20.CR IFRS'!$A10,'12.Char.Dir'!Q:Q)</f>
        <v>0</v>
      </c>
      <c r="E10" s="31">
        <f>SUMIF('12.Char.Dir'!$A:$A,'20.CR IFRS'!$A10,'12.Char.Dir'!R:R)</f>
        <v>0</v>
      </c>
      <c r="H10" s="24"/>
      <c r="I10" s="24"/>
    </row>
    <row r="11" spans="1:15" customHeight="1" ht="15">
      <c r="A11" s="28" t="str">
        <f>'11.Charges'!A9</f>
        <v>Main d'œuvre directe vente</v>
      </c>
      <c r="B11" s="28">
        <f>'11.Charges'!B9</f>
        <v/>
      </c>
      <c r="C11" s="31">
        <f>SUMIF('12.Char.Dir'!$A:$A,'20.CR IFRS'!$A11,'12.Char.Dir'!P:P)</f>
        <v>0</v>
      </c>
      <c r="D11" s="31">
        <f>SUMIF('12.Char.Dir'!$A:$A,'20.CR IFRS'!$A11,'12.Char.Dir'!Q:Q)</f>
        <v>0</v>
      </c>
      <c r="E11" s="31">
        <f>SUMIF('12.Char.Dir'!$A:$A,'20.CR IFRS'!$A11,'12.Char.Dir'!R:R)</f>
        <v>0</v>
      </c>
      <c r="H11" s="24"/>
      <c r="I11" s="24"/>
    </row>
    <row r="12" spans="1:15" customHeight="1" ht="15">
      <c r="A12" s="28" t="str">
        <f>'11.Charges'!A10</f>
        <v>Main d'œuvre directe transformation</v>
      </c>
      <c r="B12" s="28">
        <f>'11.Charges'!B10</f>
        <v/>
      </c>
      <c r="C12" s="31">
        <f>SUMIF('12.Char.Dir'!$A:$A,'20.CR IFRS'!$A12,'12.Char.Dir'!P:P)</f>
        <v>0</v>
      </c>
      <c r="D12" s="31">
        <f>SUMIF('12.Char.Dir'!$A:$A,'20.CR IFRS'!$A12,'12.Char.Dir'!Q:Q)</f>
        <v>0</v>
      </c>
      <c r="E12" s="31">
        <f>SUMIF('12.Char.Dir'!$A:$A,'20.CR IFRS'!$A12,'12.Char.Dir'!R:R)</f>
        <v>0</v>
      </c>
      <c r="H12" s="24"/>
      <c r="I12" s="24"/>
    </row>
    <row r="13" spans="1:15" customHeight="1" ht="15">
      <c r="A13" s="28" t="str">
        <f>'11.Charges'!A11</f>
        <v>Main d'œuvre directe vente de services</v>
      </c>
      <c r="B13" s="28">
        <f>'11.Charges'!B11</f>
        <v/>
      </c>
      <c r="C13" s="31">
        <f>SUMIF('12.Char.Dir'!$A:$A,'20.CR IFRS'!$A13,'12.Char.Dir'!P:P)</f>
        <v>0</v>
      </c>
      <c r="D13" s="31">
        <f>SUMIF('12.Char.Dir'!$A:$A,'20.CR IFRS'!$A13,'12.Char.Dir'!Q:Q)</f>
        <v>0</v>
      </c>
      <c r="E13" s="31">
        <f>SUMIF('12.Char.Dir'!$A:$A,'20.CR IFRS'!$A13,'12.Char.Dir'!R:R)</f>
        <v>0</v>
      </c>
      <c r="H13" s="24"/>
      <c r="I13" s="24"/>
    </row>
    <row r="14" spans="1:15" customHeight="1" ht="15">
      <c r="A14" s="28" t="str">
        <f>'11.Charges'!A12</f>
        <v>Frais indirects de transformation </v>
      </c>
      <c r="B14" s="28">
        <f>'11.Charges'!B12</f>
        <v/>
      </c>
      <c r="C14" s="31">
        <f>SUMIF('12.Char.Dir'!$A:$A,'20.CR IFRS'!$A14,'12.Char.Dir'!P:P)</f>
        <v>0</v>
      </c>
      <c r="D14" s="31">
        <f>SUMIF('12.Char.Dir'!$A:$A,'20.CR IFRS'!$A14,'12.Char.Dir'!Q:Q)</f>
        <v>0</v>
      </c>
      <c r="E14" s="31">
        <f>SUMIF('12.Char.Dir'!$A:$A,'20.CR IFRS'!$A14,'12.Char.Dir'!R:R)</f>
        <v>0</v>
      </c>
      <c r="H14" s="24"/>
      <c r="I14" s="24"/>
    </row>
    <row r="15" spans="1:15" customHeight="1" ht="15">
      <c r="A15" s="28" t="str">
        <f>'11.Charges'!A13</f>
        <v>Frais indirects de vente</v>
      </c>
      <c r="B15" s="28" t="str">
        <f>'11.Charges'!B13</f>
        <v>Logistique Tenue de luxe Homme</v>
      </c>
      <c r="C15" s="31">
        <f>SUMIF('12.Char.Dir'!$A:$A,'20.CR IFRS'!$A15,'12.Char.Dir'!P:P)</f>
        <v>2160000</v>
      </c>
      <c r="D15" s="31">
        <f>SUMIF('12.Char.Dir'!$A:$A,'20.CR IFRS'!$A15,'12.Char.Dir'!Q:Q)</f>
        <v>2376000</v>
      </c>
      <c r="E15" s="31">
        <f>SUMIF('12.Char.Dir'!$A:$A,'20.CR IFRS'!$A15,'12.Char.Dir'!R:R)</f>
        <v>2613600</v>
      </c>
      <c r="H15" s="24"/>
      <c r="I15" s="24"/>
    </row>
    <row r="16" spans="1:15" customHeight="1" ht="15">
      <c r="A16" s="28" t="str">
        <f>'11.Charges'!A25</f>
        <v>Frais indirects de vente de services</v>
      </c>
      <c r="B16" s="28">
        <f>'11.Charges'!B25</f>
        <v/>
      </c>
      <c r="C16" s="31">
        <f>SUMIF('12.Char.Dir'!$A:$A,'20.CR IFRS'!$A16,'12.Char.Dir'!P:P)</f>
        <v>0</v>
      </c>
      <c r="D16" s="31">
        <f>SUMIF('12.Char.Dir'!$A:$A,'20.CR IFRS'!$A16,'12.Char.Dir'!Q:Q)</f>
        <v>0</v>
      </c>
      <c r="E16" s="31">
        <f>SUMIF('12.Char.Dir'!$A:$A,'20.CR IFRS'!$A16,'12.Char.Dir'!R:R)</f>
        <v>0</v>
      </c>
      <c r="H16" s="24"/>
      <c r="I16" s="24"/>
    </row>
    <row r="17" spans="1:15" customHeight="1" ht="15">
      <c r="A17" s="27" t="s">
        <v>390</v>
      </c>
      <c r="B17" s="27" t="s">
        <v>390</v>
      </c>
      <c r="C17" s="33">
        <f>SUM(C9:C16)</f>
        <v>18360000</v>
      </c>
      <c r="D17" s="33">
        <f>SUM(D9:D16)</f>
        <v>20196000</v>
      </c>
      <c r="E17" s="33">
        <f>SUM(E9:E16)</f>
        <v>22215600</v>
      </c>
      <c r="H17" s="24"/>
      <c r="I17" s="24"/>
    </row>
    <row r="18" spans="1:15" customHeight="1" ht="15">
      <c r="A18" s="29" t="s">
        <v>353</v>
      </c>
      <c r="B18" s="29" t="s">
        <v>353</v>
      </c>
      <c r="C18" s="33">
        <f>C8-C17</f>
        <v>15336000</v>
      </c>
      <c r="D18" s="33">
        <f>D8-D17</f>
        <v>16869600</v>
      </c>
      <c r="E18" s="33">
        <f>E8-E17</f>
        <v>18556560</v>
      </c>
      <c r="H18" s="24"/>
      <c r="I18" s="24"/>
    </row>
    <row r="19" spans="1:15" customHeight="1" ht="15">
      <c r="A19" s="130" t="s">
        <v>391</v>
      </c>
      <c r="B19" s="130" t="s">
        <v>391</v>
      </c>
      <c r="C19" s="131">
        <f>C18/C$8</f>
        <v>0.45512820512821</v>
      </c>
      <c r="D19" s="131">
        <f>D18/D$8</f>
        <v>0.45512820512821</v>
      </c>
      <c r="E19" s="131">
        <f>E18/E$8</f>
        <v>0.45512820512821</v>
      </c>
      <c r="H19" s="24"/>
      <c r="I19" s="24"/>
    </row>
    <row r="20" spans="1:15" customHeight="1" ht="15">
      <c r="A20" s="28" t="str">
        <f>'11.Charges'!A29</f>
        <v>Action commerciale</v>
      </c>
      <c r="B20" s="28" t="str">
        <f>'11.Charges'!B29</f>
        <v>Sponsoring page réseaux sociaux</v>
      </c>
      <c r="C20" s="31">
        <f>SUMIF('14.Char.Ind'!$A:$A,'20.CR IFRS'!$A20,'14.Char.Ind'!P:P)</f>
        <v>1900000</v>
      </c>
      <c r="D20" s="31">
        <f>SUMIF('14.Char.Ind'!$A:$A,'20.CR IFRS'!$A20,'14.Char.Ind'!Q:Q)</f>
        <v>1900000</v>
      </c>
      <c r="E20" s="31">
        <f>SUMIF('14.Char.Ind'!$A:$A,'20.CR IFRS'!$A20,'14.Char.Ind'!R:R)</f>
        <v>1900000</v>
      </c>
      <c r="H20" s="24"/>
      <c r="I20" s="24"/>
    </row>
    <row r="21" spans="1:15" customHeight="1" ht="15">
      <c r="A21" s="28" t="str">
        <f>'11.Charges'!A30</f>
        <v>Frais Généraux </v>
      </c>
      <c r="B21" s="28" t="str">
        <f>'11.Charges'!B30</f>
        <v>Frais administration</v>
      </c>
      <c r="C21" s="31">
        <f>SUMIF('14.Char.Ind'!$A:$A,'20.CR IFRS'!$A21,'14.Char.Ind'!P:P)</f>
        <v>300000</v>
      </c>
      <c r="D21" s="31">
        <f>SUMIF('14.Char.Ind'!$A:$A,'20.CR IFRS'!$A21,'14.Char.Ind'!Q:Q)</f>
        <v>300000</v>
      </c>
      <c r="E21" s="31">
        <f>SUMIF('14.Char.Ind'!$A:$A,'20.CR IFRS'!$A21,'14.Char.Ind'!R:R)</f>
        <v>300000</v>
      </c>
      <c r="H21" s="24"/>
      <c r="I21" s="24"/>
    </row>
    <row r="22" spans="1:15" customHeight="1" ht="15">
      <c r="A22" s="28" t="str">
        <f>'11.Charges'!A31</f>
        <v>Energie/Electricité/ Eau</v>
      </c>
      <c r="B22" s="28" t="str">
        <f>'11.Charges'!B31</f>
        <v>Eau</v>
      </c>
      <c r="C22" s="31">
        <f>SUMIF('14.Char.Ind'!$A:$A,'20.CR IFRS'!$A22,'14.Char.Ind'!P:P)</f>
        <v>990000</v>
      </c>
      <c r="D22" s="31">
        <f>SUMIF('14.Char.Ind'!$A:$A,'20.CR IFRS'!$A22,'14.Char.Ind'!Q:Q)</f>
        <v>990000</v>
      </c>
      <c r="E22" s="31">
        <f>SUMIF('14.Char.Ind'!$A:$A,'20.CR IFRS'!$A22,'14.Char.Ind'!R:R)</f>
        <v>990000</v>
      </c>
      <c r="H22" s="24"/>
      <c r="I22" s="24"/>
    </row>
    <row r="23" spans="1:15" customHeight="1" ht="15">
      <c r="A23" s="28" t="str">
        <f>'11.Charges'!A32</f>
        <v>Frais de transport </v>
      </c>
      <c r="B23" s="28" t="str">
        <f>'11.Charges'!B32</f>
        <v>Carburant</v>
      </c>
      <c r="C23" s="31">
        <f>SUMIF('14.Char.Ind'!$A:$A,'20.CR IFRS'!$A23,'14.Char.Ind'!P:P)</f>
        <v>600000</v>
      </c>
      <c r="D23" s="31">
        <f>SUMIF('14.Char.Ind'!$A:$A,'20.CR IFRS'!$A23,'14.Char.Ind'!Q:Q)</f>
        <v>600000</v>
      </c>
      <c r="E23" s="31">
        <f>SUMIF('14.Char.Ind'!$A:$A,'20.CR IFRS'!$A23,'14.Char.Ind'!R:R)</f>
        <v>600000</v>
      </c>
      <c r="H23" s="24"/>
      <c r="I23" s="24"/>
    </row>
    <row r="24" spans="1:15" customHeight="1" ht="15">
      <c r="A24" s="28" t="str">
        <f>'11.Charges'!A33</f>
        <v>Frais de communication</v>
      </c>
      <c r="B24" s="28" t="str">
        <f>'11.Charges'!B33</f>
        <v>Telephone / Internet</v>
      </c>
      <c r="C24" s="31">
        <f>SUMIF('14.Char.Ind'!$A:$A,'20.CR IFRS'!$A24,'14.Char.Ind'!P:P)</f>
        <v>600000</v>
      </c>
      <c r="D24" s="31">
        <f>SUMIF('14.Char.Ind'!$A:$A,'20.CR IFRS'!$A24,'14.Char.Ind'!Q:Q)</f>
        <v>600000</v>
      </c>
      <c r="E24" s="31">
        <f>SUMIF('14.Char.Ind'!$A:$A,'20.CR IFRS'!$A24,'14.Char.Ind'!R:R)</f>
        <v>600000</v>
      </c>
      <c r="H24" s="24"/>
      <c r="I24" s="24"/>
    </row>
    <row r="25" spans="1:15" customHeight="1" ht="15">
      <c r="A25" s="28" t="str">
        <f>'11.Charges'!A34</f>
        <v>Publicité et Marketing </v>
      </c>
      <c r="B25" s="28">
        <f>'11.Charges'!B34</f>
        <v/>
      </c>
      <c r="C25" s="31">
        <f>SUMIF('14.Char.Ind'!$A:$A,'20.CR IFRS'!$A25,'14.Char.Ind'!P:P)</f>
        <v>0</v>
      </c>
      <c r="D25" s="31">
        <f>SUMIF('14.Char.Ind'!$A:$A,'20.CR IFRS'!$A25,'14.Char.Ind'!Q:Q)</f>
        <v>0</v>
      </c>
      <c r="E25" s="31">
        <f>SUMIF('14.Char.Ind'!$A:$A,'20.CR IFRS'!$A25,'14.Char.Ind'!R:R)</f>
        <v>0</v>
      </c>
      <c r="H25" s="24"/>
      <c r="I25" s="24"/>
    </row>
    <row r="26" spans="1:15" customHeight="1" ht="15">
      <c r="A26" s="28" t="str">
        <f>'11.Charges'!A35</f>
        <v>Location</v>
      </c>
      <c r="B26" s="28" t="str">
        <f>'11.Charges'!B35</f>
        <v>Loyer</v>
      </c>
      <c r="C26" s="31">
        <f>SUMIF('14.Char.Ind'!$A:$A,'20.CR IFRS'!$A26,'14.Char.Ind'!P:P)</f>
        <v>3000000</v>
      </c>
      <c r="D26" s="31">
        <f>SUMIF('14.Char.Ind'!$A:$A,'20.CR IFRS'!$A26,'14.Char.Ind'!Q:Q)</f>
        <v>3000000</v>
      </c>
      <c r="E26" s="31">
        <f>SUMIF('14.Char.Ind'!$A:$A,'20.CR IFRS'!$A26,'14.Char.Ind'!R:R)</f>
        <v>3000000</v>
      </c>
      <c r="H26" s="24"/>
      <c r="I26" s="24"/>
    </row>
    <row r="27" spans="1:15" customHeight="1" ht="15">
      <c r="A27" s="28" t="str">
        <f>'11.Charges'!A36</f>
        <v>Assurance</v>
      </c>
      <c r="B27" s="28" t="str">
        <f>'11.Charges'!B36</f>
        <v>Assurance voiture</v>
      </c>
      <c r="C27" s="31">
        <f>SUMIF('14.Char.Ind'!$A:$A,'20.CR IFRS'!$A27,'14.Char.Ind'!P:P)</f>
        <v>144000</v>
      </c>
      <c r="D27" s="31">
        <f>SUMIF('14.Char.Ind'!$A:$A,'20.CR IFRS'!$A27,'14.Char.Ind'!Q:Q)</f>
        <v>144000</v>
      </c>
      <c r="E27" s="31">
        <f>SUMIF('14.Char.Ind'!$A:$A,'20.CR IFRS'!$A27,'14.Char.Ind'!R:R)</f>
        <v>144000</v>
      </c>
      <c r="H27" s="24"/>
      <c r="I27" s="24"/>
    </row>
    <row r="28" spans="1:15" customHeight="1" ht="15">
      <c r="A28" s="28" t="str">
        <f>'11.Charges'!A37</f>
        <v>Prestations et Honoraires </v>
      </c>
      <c r="B28" s="28" t="str">
        <f>'11.Charges'!B37</f>
        <v>Frais Infogérance</v>
      </c>
      <c r="C28" s="31">
        <f>SUMIF('14.Char.Ind'!$A:$A,'20.CR IFRS'!$A28,'14.Char.Ind'!P:P)</f>
        <v>380000</v>
      </c>
      <c r="D28" s="31">
        <f>SUMIF('14.Char.Ind'!$A:$A,'20.CR IFRS'!$A28,'14.Char.Ind'!Q:Q)</f>
        <v>380000</v>
      </c>
      <c r="E28" s="31">
        <f>SUMIF('14.Char.Ind'!$A:$A,'20.CR IFRS'!$A28,'14.Char.Ind'!R:R)</f>
        <v>380000</v>
      </c>
      <c r="H28" s="24"/>
      <c r="I28" s="24"/>
    </row>
    <row r="29" spans="1:15" customHeight="1" ht="15">
      <c r="A29" s="28" t="str">
        <f>'11.Charges'!A38</f>
        <v>Autres provisions </v>
      </c>
      <c r="B29" s="28">
        <f>'11.Charges'!B38</f>
        <v/>
      </c>
      <c r="C29" s="31">
        <f>SUMIF('14.Char.Ind'!$A:$A,'20.CR IFRS'!$A29,'14.Char.Ind'!P:P)</f>
        <v>0</v>
      </c>
      <c r="D29" s="31">
        <f>SUMIF('14.Char.Ind'!$A:$A,'20.CR IFRS'!$A29,'14.Char.Ind'!Q:Q)</f>
        <v>0</v>
      </c>
      <c r="E29" s="31">
        <f>SUMIF('14.Char.Ind'!$A:$A,'20.CR IFRS'!$A29,'14.Char.Ind'!R:R)</f>
        <v>0</v>
      </c>
      <c r="H29" s="24"/>
      <c r="I29" s="24"/>
    </row>
    <row r="30" spans="1:15" customHeight="1" ht="15">
      <c r="A30" s="28" t="str">
        <f>'11.Charges'!A27</f>
        <v>Taxe et redevance</v>
      </c>
      <c r="B30" s="28" t="str">
        <f>'11.Charges'!B27</f>
        <v>Timbre</v>
      </c>
      <c r="C30" s="31">
        <f>SUMIF('12.Char.Dir'!$A:$A,'20.CR IFRS'!$A30,'12.Char.Dir'!P:P)</f>
        <v>161740.8</v>
      </c>
      <c r="D30" s="31">
        <f>SUMIF('12.Char.Dir'!$A:$A,'20.CR IFRS'!$A30,'12.Char.Dir'!Q:Q)</f>
        <v>177914.88</v>
      </c>
      <c r="E30" s="31">
        <f>SUMIF('12.Char.Dir'!$A:$A,'20.CR IFRS'!$A30,'12.Char.Dir'!R:R)</f>
        <v>195706.368</v>
      </c>
      <c r="H30" s="24"/>
      <c r="I30" s="24"/>
    </row>
    <row r="31" spans="1:15" customHeight="1" ht="15">
      <c r="A31" s="28" t="str">
        <f>'11.Charges'!A26</f>
        <v>Salaires et Avantages </v>
      </c>
      <c r="B31" s="28" t="str">
        <f>'11.Charges'!B26</f>
        <v>Salaire personnel</v>
      </c>
      <c r="C31" s="31">
        <f>SUMIF('12.Char.Dir'!$A:$A,'20.CR IFRS'!$A31,'12.Char.Dir'!P:P)</f>
        <v>7413120</v>
      </c>
      <c r="D31" s="31">
        <f>SUMIF('12.Char.Dir'!$A:$A,'20.CR IFRS'!$A31,'12.Char.Dir'!Q:Q)</f>
        <v>8154432</v>
      </c>
      <c r="E31" s="31">
        <f>SUMIF('12.Char.Dir'!$A:$A,'20.CR IFRS'!$A31,'12.Char.Dir'!R:R)</f>
        <v>8969875.2</v>
      </c>
      <c r="H31" s="24"/>
      <c r="I31" s="24"/>
    </row>
    <row r="32" spans="1:15" customHeight="1" ht="15">
      <c r="A32" s="27" t="s">
        <v>354</v>
      </c>
      <c r="B32" s="27" t="s">
        <v>354</v>
      </c>
      <c r="C32" s="33">
        <f>SUM(C20:C31)</f>
        <v>15488860.8</v>
      </c>
      <c r="D32" s="33">
        <f>SUM(D20:D31)</f>
        <v>16246346.88</v>
      </c>
      <c r="E32" s="33">
        <f>SUM(E20:E31)</f>
        <v>17079581.568</v>
      </c>
      <c r="H32" s="24"/>
      <c r="I32" s="24"/>
    </row>
    <row r="33" spans="1:15" customHeight="1" ht="15">
      <c r="A33" s="27" t="s">
        <v>392</v>
      </c>
      <c r="B33" s="27" t="s">
        <v>392</v>
      </c>
      <c r="C33" s="33">
        <f>C18-C32</f>
        <v>-152860.8</v>
      </c>
      <c r="D33" s="33">
        <f>D18-D32</f>
        <v>623253.12</v>
      </c>
      <c r="E33" s="33">
        <f>E18-E32</f>
        <v>1476978.432</v>
      </c>
      <c r="H33" s="24"/>
      <c r="I33" s="24"/>
    </row>
    <row r="34" spans="1:15" customHeight="1" ht="15">
      <c r="A34" s="130" t="s">
        <v>393</v>
      </c>
      <c r="B34" s="130" t="s">
        <v>393</v>
      </c>
      <c r="C34" s="131">
        <f>C33/C$8</f>
        <v>-0.0045364672364673</v>
      </c>
      <c r="D34" s="131">
        <f>D33/D$8</f>
        <v>0.016814866614867</v>
      </c>
      <c r="E34" s="131">
        <f>E33/E$8</f>
        <v>0.036225170116079</v>
      </c>
      <c r="H34" s="24"/>
      <c r="I34" s="24"/>
    </row>
    <row r="35" spans="1:15" customHeight="1" ht="19">
      <c r="A35" s="28" t="s">
        <v>394</v>
      </c>
      <c r="B35" s="28" t="s">
        <v>394</v>
      </c>
      <c r="C35" s="31">
        <f>'12.Char.Dir'!P29+'14.Char.Ind'!P14</f>
        <v>1182729.6</v>
      </c>
      <c r="D35" s="31">
        <f>'12.Char.Dir'!Q29+'14.Char.Ind'!Q14</f>
        <v>1301002.56</v>
      </c>
      <c r="E35" s="31">
        <f>'12.Char.Dir'!R29+'14.Char.Ind'!R14</f>
        <v>1431102.816</v>
      </c>
    </row>
    <row r="36" spans="1:15" customHeight="1" ht="15">
      <c r="A36" s="27" t="s">
        <v>395</v>
      </c>
      <c r="B36" s="27" t="s">
        <v>395</v>
      </c>
      <c r="C36" s="33">
        <f>C33-C35</f>
        <v>-1335590.4</v>
      </c>
      <c r="D36" s="33">
        <f>D33-D35</f>
        <v>-677749.44</v>
      </c>
      <c r="E36" s="33">
        <f>E33-E35</f>
        <v>45875.616</v>
      </c>
      <c r="H36" s="24"/>
      <c r="I36" s="24"/>
    </row>
    <row r="37" spans="1:15" customHeight="1" ht="15">
      <c r="A37" s="28" t="s">
        <v>396</v>
      </c>
      <c r="B37" s="28" t="s">
        <v>396</v>
      </c>
      <c r="C37" s="31">
        <f>SUMIF('2.Cal.Amo.CT'!$G:$G,'20.CR IFRS'!C$3,'2.Cal.Amo.CT'!$C:$C)+SUMIF('3.Cal.Amo.LT'!$A:$A,C$3,'3.Cal.Amo.LT'!$C:$C)+SUMIF('4.Cal.Amo.AI'!$A:$A,C$3,'4.Cal.Amo.AI'!$C:$C)</f>
        <v>2343354.9213467</v>
      </c>
      <c r="D37" s="31">
        <f>SUMIF('2.Cal.Amo.CT'!$G:$G,'20.CR IFRS'!D$3,'2.Cal.Amo.CT'!$C:$C)+SUMIF('3.Cal.Amo.LT'!$A:$A,D$3,'3.Cal.Amo.LT'!$C:$C)+SUMIF('4.Cal.Amo.AI'!$A:$A,D$3,'4.Cal.Amo.AI'!$C:$C)</f>
        <v>1429448.8533907</v>
      </c>
      <c r="E37" s="31">
        <f>SUMIF('2.Cal.Amo.CT'!$G:$G,'20.CR IFRS'!E$3,'2.Cal.Amo.CT'!$C:$C)+SUMIF('3.Cal.Amo.LT'!$A:$A,E$3,'3.Cal.Amo.LT'!$C:$C)+SUMIF('4.Cal.Amo.AI'!$A:$A,E$3,'4.Cal.Amo.AI'!$C:$C)</f>
        <v>745502.03358653</v>
      </c>
      <c r="H37" s="24"/>
      <c r="I37" s="24"/>
    </row>
    <row r="38" spans="1:15" customHeight="1" ht="15">
      <c r="A38" s="27" t="s">
        <v>397</v>
      </c>
      <c r="B38" s="27" t="s">
        <v>397</v>
      </c>
      <c r="C38" s="33">
        <f>C32+C17+C35+C37</f>
        <v>37374945.321347</v>
      </c>
      <c r="D38" s="33">
        <f>D32+D17+D35+D37</f>
        <v>39172798.293391</v>
      </c>
      <c r="E38" s="33">
        <f>E32+E17+E35+E37</f>
        <v>41471786.417587</v>
      </c>
      <c r="H38" s="24"/>
      <c r="I38" s="24"/>
    </row>
    <row r="39" spans="1:15" customHeight="1" ht="15">
      <c r="A39" s="27" t="s">
        <v>398</v>
      </c>
      <c r="B39" s="27" t="s">
        <v>398</v>
      </c>
      <c r="C39" s="33">
        <f>C8-C38</f>
        <v>-3678945.3213467</v>
      </c>
      <c r="D39" s="33">
        <f>D8-D38</f>
        <v>-2107198.2933907</v>
      </c>
      <c r="E39" s="33">
        <f>E8-E38</f>
        <v>-699626.41758654</v>
      </c>
      <c r="H39" s="24"/>
      <c r="I39" s="24"/>
    </row>
    <row r="40" spans="1:15" customHeight="1" ht="15">
      <c r="A40" s="28" t="s">
        <v>294</v>
      </c>
      <c r="B40" s="28" t="s">
        <v>294</v>
      </c>
      <c r="C40" s="31">
        <f>'12.Char.Dir'!P28</f>
        <v>1034467.2</v>
      </c>
      <c r="D40" s="31">
        <f>'12.Char.Dir'!Q28</f>
        <v>1137913.92</v>
      </c>
      <c r="E40" s="31">
        <f>'12.Char.Dir'!R28</f>
        <v>1251705.312</v>
      </c>
      <c r="H40" s="24"/>
      <c r="I40" s="24"/>
    </row>
    <row r="41" spans="1:15" customHeight="1" ht="15">
      <c r="A41" s="27" t="s">
        <v>382</v>
      </c>
      <c r="B41" s="27" t="s">
        <v>382</v>
      </c>
      <c r="C41" s="33">
        <f>C39-C40</f>
        <v>-4713412.5213467</v>
      </c>
      <c r="D41" s="33">
        <f>D39-D40</f>
        <v>-3245112.2133907</v>
      </c>
      <c r="E41" s="33">
        <f>E39-E40</f>
        <v>-1951331.7295865</v>
      </c>
      <c r="H41" s="24"/>
      <c r="I41" s="24"/>
    </row>
    <row r="42" spans="1:15" customHeight="1" ht="15">
      <c r="A42" s="130" t="s">
        <v>78</v>
      </c>
      <c r="B42" s="130" t="s">
        <v>78</v>
      </c>
      <c r="C42" s="131">
        <f>C41/C$8</f>
        <v>-0.13988047606086</v>
      </c>
      <c r="D42" s="131">
        <f>D41/D$8</f>
        <v>-0.087550510807614</v>
      </c>
      <c r="E42" s="131">
        <f>E41/E$8</f>
        <v>-0.047859415090752</v>
      </c>
      <c r="H42" s="24"/>
      <c r="I42" s="24"/>
    </row>
    <row r="43" spans="1:15">
      <c r="A43" s="28" t="s">
        <v>394</v>
      </c>
      <c r="B43" s="28" t="s">
        <v>394</v>
      </c>
      <c r="C43" s="31">
        <f>C35</f>
        <v>1182729.6</v>
      </c>
      <c r="D43" s="31">
        <f>D35</f>
        <v>1301002.56</v>
      </c>
      <c r="E43" s="31">
        <f>E35</f>
        <v>1431102.816</v>
      </c>
    </row>
    <row r="44" spans="1:15">
      <c r="A44" s="27" t="s">
        <v>366</v>
      </c>
      <c r="B44" s="27" t="s">
        <v>366</v>
      </c>
      <c r="C44" s="33">
        <f>C41+C43</f>
        <v>-3530682.9213467</v>
      </c>
      <c r="D44" s="33">
        <f>D41+D43</f>
        <v>-1944109.6533907</v>
      </c>
      <c r="E44" s="33">
        <f>E41+E43</f>
        <v>-520228.91358654</v>
      </c>
    </row>
    <row r="45" spans="1:15" customHeight="1" ht="15">
      <c r="A45" s="24"/>
      <c r="B45" s="24"/>
      <c r="C45" s="1"/>
      <c r="D45" s="1"/>
      <c r="E45" s="1"/>
    </row>
    <row r="46" spans="1:15" customHeight="1" ht="15">
      <c r="A46" s="24"/>
      <c r="B46" s="24"/>
      <c r="C46" s="12" t="s">
        <v>399</v>
      </c>
      <c r="D46" s="12" t="s">
        <v>400</v>
      </c>
      <c r="E46" s="12" t="s">
        <v>401</v>
      </c>
    </row>
    <row r="47" spans="1:15" customHeight="1" ht="15">
      <c r="A47" s="24"/>
      <c r="B47" s="24"/>
      <c r="C47" s="1"/>
      <c r="D47" s="1"/>
      <c r="E47" s="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portrait" scale="100" fitToHeight="1" fitToWidth="1" pageOrder="downThenOver" r:id="rId1"/>
  <headerFooter differentOddEven="false" differentFirst="false" scaleWithDoc="true" alignWithMargins="true">
    <oddHeader/>
    <oddFooter/>
    <evenHeader/>
    <evenFooter/>
    <firstHeader/>
    <first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FFC000"/>
    <outlinePr summaryBelow="1" summaryRight="1"/>
  </sheetPr>
  <dimension ref="A1:G42"/>
  <sheetViews>
    <sheetView tabSelected="0" workbookViewId="0" showGridLines="true" showRowColHeaders="1">
      <selection activeCell="A3" sqref="A3:XFD3"/>
    </sheetView>
  </sheetViews>
  <sheetFormatPr defaultRowHeight="14.4" outlineLevelRow="0" outlineLevelCol="0"/>
  <cols>
    <col min="1" max="1" width="33.6640625" customWidth="true" style="0"/>
    <col min="2" max="2" width="32" customWidth="true" style="0"/>
    <col min="6" max="6" width="18.83203125" customWidth="true" style="0"/>
  </cols>
  <sheetData>
    <row r="1" spans="1:7">
      <c r="A1" s="124" t="s">
        <v>402</v>
      </c>
    </row>
    <row r="3" spans="1:7">
      <c r="A3" s="27" t="s">
        <v>254</v>
      </c>
      <c r="B3" s="27" t="s">
        <v>333</v>
      </c>
      <c r="C3" s="27" t="s">
        <v>255</v>
      </c>
      <c r="D3" s="27" t="s">
        <v>183</v>
      </c>
      <c r="E3" s="116" t="s">
        <v>189</v>
      </c>
      <c r="F3" s="116" t="s">
        <v>403</v>
      </c>
      <c r="G3" s="27" t="s">
        <v>66</v>
      </c>
    </row>
    <row r="4" spans="1:7">
      <c r="A4" s="126" t="str">
        <f>'11.Charges'!A4</f>
        <v>Achat de marchandises</v>
      </c>
      <c r="B4" s="31" t="str">
        <f>'11.Charges'!B4</f>
        <v>Achat de Tenue de luxe Homme</v>
      </c>
      <c r="C4" s="31">
        <f>'11.Charges'!D4</f>
        <v>1</v>
      </c>
      <c r="D4" s="31">
        <f>'11.Charges'!E4</f>
        <v>6000</v>
      </c>
      <c r="E4" s="118">
        <v>3</v>
      </c>
      <c r="F4" s="118" t="s">
        <v>185</v>
      </c>
      <c r="G4" s="31">
        <f>C4*D4*E4</f>
        <v>18000</v>
      </c>
    </row>
    <row r="5" spans="1:7">
      <c r="A5" s="126" t="str">
        <f>'11.Charges'!A5</f>
        <v>Achat de marchandises</v>
      </c>
      <c r="B5" s="31" t="str">
        <f>'11.Charges'!B5</f>
        <v>Achat de Tenue de luxe Femme</v>
      </c>
      <c r="C5" s="31">
        <f>'11.Charges'!D5</f>
        <v>1</v>
      </c>
      <c r="D5" s="31">
        <f>'11.Charges'!E5</f>
        <v>12000</v>
      </c>
      <c r="E5" s="118">
        <v>3</v>
      </c>
      <c r="F5" s="118" t="s">
        <v>185</v>
      </c>
      <c r="G5" s="31">
        <f>C5*D5*E5</f>
        <v>36000</v>
      </c>
    </row>
    <row r="6" spans="1:7">
      <c r="A6" s="126" t="str">
        <f>'11.Charges'!A6</f>
        <v>Achat de marchandises</v>
      </c>
      <c r="B6" s="31" t="str">
        <f>'11.Charges'!B6</f>
        <v>Achat de Prêt-à-porter homme</v>
      </c>
      <c r="C6" s="31">
        <f>'11.Charges'!D6</f>
        <v>1</v>
      </c>
      <c r="D6" s="31">
        <f>'11.Charges'!E6</f>
        <v>3000</v>
      </c>
      <c r="E6" s="118">
        <v>3</v>
      </c>
      <c r="F6" s="118" t="s">
        <v>185</v>
      </c>
      <c r="G6" s="31">
        <f>C6*D6*E6</f>
        <v>9000</v>
      </c>
    </row>
    <row r="7" spans="1:7">
      <c r="A7" s="126" t="str">
        <f>'11.Charges'!A7</f>
        <v>Achat de marchandises</v>
      </c>
      <c r="B7" s="31" t="str">
        <f>'11.Charges'!B7</f>
        <v>Achat de Prêt-à-porter femme</v>
      </c>
      <c r="C7" s="31">
        <f>'11.Charges'!D7</f>
        <v>1</v>
      </c>
      <c r="D7" s="31">
        <f>'11.Charges'!E7</f>
        <v>1500</v>
      </c>
      <c r="E7" s="118">
        <v>3</v>
      </c>
      <c r="F7" s="118" t="s">
        <v>185</v>
      </c>
      <c r="G7" s="31">
        <f>C7*D7*E7</f>
        <v>4500</v>
      </c>
    </row>
    <row r="8" spans="1:7">
      <c r="A8" s="126" t="str">
        <f>'11.Charges'!A8</f>
        <v>Achat de MP</v>
      </c>
      <c r="B8" s="31">
        <f>'11.Charges'!B8</f>
        <v/>
      </c>
      <c r="C8" s="31">
        <f>'11.Charges'!D8</f>
        <v>1</v>
      </c>
      <c r="D8" s="31">
        <f>'11.Charges'!E8</f>
        <v/>
      </c>
      <c r="E8" s="118">
        <v>3</v>
      </c>
      <c r="F8" s="118" t="s">
        <v>185</v>
      </c>
      <c r="G8" s="31">
        <f>C8*D8*E8</f>
        <v>0</v>
      </c>
    </row>
    <row r="9" spans="1:7">
      <c r="A9" s="126" t="str">
        <f>'11.Charges'!A8</f>
        <v>Achat de MP</v>
      </c>
      <c r="B9" s="31">
        <f>'11.Charges'!B8</f>
        <v/>
      </c>
      <c r="C9" s="31">
        <f>'11.Charges'!D8</f>
        <v>1</v>
      </c>
      <c r="D9" s="31">
        <f>'11.Charges'!E8</f>
        <v/>
      </c>
      <c r="E9" s="118">
        <v>3</v>
      </c>
      <c r="F9" s="118" t="s">
        <v>185</v>
      </c>
      <c r="G9" s="31">
        <f>C9*D9*E9</f>
        <v>0</v>
      </c>
    </row>
    <row r="10" spans="1:7">
      <c r="A10" s="126" t="str">
        <f>'11.Charges'!A9</f>
        <v>Main d'œuvre directe vente</v>
      </c>
      <c r="B10" s="31">
        <f>'11.Charges'!B9</f>
        <v/>
      </c>
      <c r="C10" s="31">
        <f>'11.Charges'!D9</f>
        <v>1</v>
      </c>
      <c r="D10" s="31">
        <f>'11.Charges'!E9</f>
        <v/>
      </c>
      <c r="E10" s="118">
        <v>3</v>
      </c>
      <c r="F10" s="118" t="s">
        <v>185</v>
      </c>
      <c r="G10" s="31">
        <f>C10*D10*E10</f>
        <v>0</v>
      </c>
    </row>
    <row r="11" spans="1:7">
      <c r="A11" s="126" t="str">
        <f>'11.Charges'!A10</f>
        <v>Main d'œuvre directe transformation</v>
      </c>
      <c r="B11" s="31">
        <f>'11.Charges'!B10</f>
        <v/>
      </c>
      <c r="C11" s="31">
        <f>'11.Charges'!D10</f>
        <v>1</v>
      </c>
      <c r="D11" s="31">
        <f>'11.Charges'!E10</f>
        <v/>
      </c>
      <c r="E11" s="118">
        <v>3</v>
      </c>
      <c r="F11" s="118" t="s">
        <v>185</v>
      </c>
      <c r="G11" s="31">
        <f>C11*D11*E11</f>
        <v>0</v>
      </c>
    </row>
    <row r="12" spans="1:7">
      <c r="A12" s="126" t="str">
        <f>'11.Charges'!A11</f>
        <v>Main d'œuvre directe vente de services</v>
      </c>
      <c r="B12" s="31">
        <f>'11.Charges'!B11</f>
        <v/>
      </c>
      <c r="C12" s="31">
        <f>'11.Charges'!D11</f>
        <v>1</v>
      </c>
      <c r="D12" s="31">
        <f>'11.Charges'!E11</f>
        <v/>
      </c>
      <c r="E12" s="118">
        <v>3</v>
      </c>
      <c r="F12" s="118" t="s">
        <v>185</v>
      </c>
      <c r="G12" s="31">
        <f>C12*D12*E12</f>
        <v>0</v>
      </c>
    </row>
    <row r="13" spans="1:7">
      <c r="A13" s="126" t="str">
        <f>'11.Charges'!A12</f>
        <v>Frais indirects de transformation </v>
      </c>
      <c r="B13" s="31">
        <f>'11.Charges'!B12</f>
        <v/>
      </c>
      <c r="C13" s="31">
        <f>'11.Charges'!D12</f>
        <v>1</v>
      </c>
      <c r="D13" s="31">
        <f>'11.Charges'!E12</f>
        <v/>
      </c>
      <c r="E13" s="118">
        <v>3</v>
      </c>
      <c r="F13" s="118" t="s">
        <v>185</v>
      </c>
      <c r="G13" s="31">
        <f>C13*D13*E13</f>
        <v>0</v>
      </c>
    </row>
    <row r="14" spans="1:7">
      <c r="A14" s="126" t="str">
        <f>'11.Charges'!A13</f>
        <v>Frais indirects de vente</v>
      </c>
      <c r="B14" s="31" t="str">
        <f>'11.Charges'!B13</f>
        <v>Logistique Tenue de luxe Homme</v>
      </c>
      <c r="C14" s="31">
        <f>'11.Charges'!D13</f>
        <v>1</v>
      </c>
      <c r="D14" s="31">
        <f>'11.Charges'!E13</f>
        <v>200</v>
      </c>
      <c r="E14" s="118">
        <v>3</v>
      </c>
      <c r="F14" s="118" t="s">
        <v>185</v>
      </c>
      <c r="G14" s="31">
        <f>C14*D14*E14</f>
        <v>600</v>
      </c>
    </row>
    <row r="15" spans="1:7">
      <c r="A15" s="126" t="str">
        <f>'11.Charges'!A14</f>
        <v>Frais indirects de vente</v>
      </c>
      <c r="B15" s="31" t="str">
        <f>'11.Charges'!B14</f>
        <v>Logistique Tenue de luxe Femme</v>
      </c>
      <c r="C15" s="31">
        <f>'11.Charges'!D14</f>
        <v>1</v>
      </c>
      <c r="D15" s="31">
        <f>'11.Charges'!E14</f>
        <v>400</v>
      </c>
      <c r="E15" s="118">
        <v>3</v>
      </c>
      <c r="F15" s="118" t="s">
        <v>185</v>
      </c>
      <c r="G15" s="31">
        <f>C15*D15*E15</f>
        <v>1200</v>
      </c>
    </row>
    <row r="16" spans="1:7">
      <c r="A16" s="126" t="str">
        <f>'11.Charges'!A15</f>
        <v>Frais indirects de vente</v>
      </c>
      <c r="B16" s="31" t="str">
        <f>'11.Charges'!B15</f>
        <v>Logistique Prêt-à-porter homme</v>
      </c>
      <c r="C16" s="31">
        <f>'11.Charges'!D15</f>
        <v>1</v>
      </c>
      <c r="D16" s="31">
        <f>'11.Charges'!E15</f>
        <v>100</v>
      </c>
      <c r="E16" s="118">
        <v>3</v>
      </c>
      <c r="F16" s="118" t="s">
        <v>185</v>
      </c>
      <c r="G16" s="31">
        <f>C16*D16*E16</f>
        <v>300</v>
      </c>
    </row>
    <row r="17" spans="1:7">
      <c r="A17" s="126" t="str">
        <f>'11.Charges'!A16</f>
        <v>Frais indirects de vente</v>
      </c>
      <c r="B17" s="31" t="str">
        <f>'11.Charges'!B16</f>
        <v>Logistique Prêt-à-porter femme</v>
      </c>
      <c r="C17" s="31">
        <f>'11.Charges'!D16</f>
        <v>1</v>
      </c>
      <c r="D17" s="31">
        <f>'11.Charges'!E16</f>
        <v>50</v>
      </c>
      <c r="E17" s="118">
        <v>3</v>
      </c>
      <c r="F17" s="118" t="s">
        <v>185</v>
      </c>
      <c r="G17" s="31">
        <f>C17*D17*E17</f>
        <v>150</v>
      </c>
    </row>
    <row r="18" spans="1:7">
      <c r="A18" s="126" t="str">
        <f>'11.Charges'!A17</f>
        <v>Frais indirects de vente</v>
      </c>
      <c r="B18" s="31" t="str">
        <f>'11.Charges'!B17</f>
        <v>Stockage Tenue de luxe Homme</v>
      </c>
      <c r="C18" s="31">
        <f>'11.Charges'!D17</f>
        <v>1</v>
      </c>
      <c r="D18" s="31">
        <f>'11.Charges'!E17</f>
        <v>400</v>
      </c>
      <c r="E18" s="118">
        <v>3</v>
      </c>
      <c r="F18" s="118" t="s">
        <v>185</v>
      </c>
      <c r="G18" s="31">
        <f>C18*D18*E18</f>
        <v>1200</v>
      </c>
    </row>
    <row r="19" spans="1:7">
      <c r="A19" s="126" t="str">
        <f>'11.Charges'!A18</f>
        <v>Frais indirects de vente</v>
      </c>
      <c r="B19" s="31" t="str">
        <f>'11.Charges'!B18</f>
        <v>Stockage Tenue de luxe Femme</v>
      </c>
      <c r="C19" s="31">
        <f>'11.Charges'!D18</f>
        <v>1</v>
      </c>
      <c r="D19" s="31">
        <f>'11.Charges'!E18</f>
        <v>800</v>
      </c>
      <c r="E19" s="118">
        <v>3</v>
      </c>
      <c r="F19" s="118" t="s">
        <v>185</v>
      </c>
      <c r="G19" s="31">
        <f>C19*D19*E19</f>
        <v>2400</v>
      </c>
    </row>
    <row r="20" spans="1:7">
      <c r="A20" s="126" t="str">
        <f>'11.Charges'!A19</f>
        <v>Frais indirects de vente</v>
      </c>
      <c r="B20" s="31" t="str">
        <f>'11.Charges'!B19</f>
        <v>Stockage Prêt-à-porter homme</v>
      </c>
      <c r="C20" s="31">
        <f>'11.Charges'!D19</f>
        <v>1</v>
      </c>
      <c r="D20" s="31">
        <f>'11.Charges'!E19</f>
        <v>200</v>
      </c>
      <c r="E20" s="118">
        <v>3</v>
      </c>
      <c r="F20" s="118" t="s">
        <v>185</v>
      </c>
      <c r="G20" s="31">
        <f>C20*D20*E20</f>
        <v>600</v>
      </c>
    </row>
    <row r="21" spans="1:7">
      <c r="A21" s="126" t="str">
        <f>'11.Charges'!A20</f>
        <v>Frais indirects de vente</v>
      </c>
      <c r="B21" s="31" t="str">
        <f>'11.Charges'!B20</f>
        <v>Stockage Prêt-à-porter femme</v>
      </c>
      <c r="C21" s="31">
        <f>'11.Charges'!D20</f>
        <v>1</v>
      </c>
      <c r="D21" s="31">
        <f>'11.Charges'!E20</f>
        <v>100</v>
      </c>
      <c r="E21" s="118">
        <v>3</v>
      </c>
      <c r="F21" s="118" t="s">
        <v>185</v>
      </c>
      <c r="G21" s="31">
        <f>C21*D21*E21</f>
        <v>300</v>
      </c>
    </row>
    <row r="22" spans="1:7">
      <c r="A22" s="126" t="str">
        <f>'11.Charges'!A21</f>
        <v>Frais indirects de vente</v>
      </c>
      <c r="B22" s="31" t="str">
        <f>'11.Charges'!B21</f>
        <v>Commission MP Tenue de luxe Homme</v>
      </c>
      <c r="C22" s="31">
        <f>'11.Charges'!D21</f>
        <v>1</v>
      </c>
      <c r="D22" s="31">
        <f>'11.Charges'!E21</f>
        <v>200</v>
      </c>
      <c r="E22" s="118">
        <v>3</v>
      </c>
      <c r="F22" s="118" t="s">
        <v>185</v>
      </c>
      <c r="G22" s="31">
        <f>C22*D22*E22</f>
        <v>600</v>
      </c>
    </row>
    <row r="23" spans="1:7">
      <c r="A23" s="126" t="str">
        <f>'11.Charges'!A22</f>
        <v>Frais indirects de vente</v>
      </c>
      <c r="B23" s="31" t="str">
        <f>'11.Charges'!B22</f>
        <v>Commission MP Tenue de luxe Femme</v>
      </c>
      <c r="C23" s="31">
        <f>'11.Charges'!D22</f>
        <v>1</v>
      </c>
      <c r="D23" s="31">
        <f>'11.Charges'!E22</f>
        <v>400</v>
      </c>
      <c r="E23" s="118">
        <v>3</v>
      </c>
      <c r="F23" s="118" t="s">
        <v>185</v>
      </c>
      <c r="G23" s="31">
        <f>C23*D23*E23</f>
        <v>1200</v>
      </c>
    </row>
    <row r="24" spans="1:7">
      <c r="A24" s="126" t="str">
        <f>'11.Charges'!A23</f>
        <v>Frais indirects de vente</v>
      </c>
      <c r="B24" s="31" t="str">
        <f>'11.Charges'!B23</f>
        <v>Commission MP Prêt-à-porter homme</v>
      </c>
      <c r="C24" s="31">
        <f>'11.Charges'!D23</f>
        <v>1</v>
      </c>
      <c r="D24" s="31">
        <f>'11.Charges'!E23</f>
        <v>100</v>
      </c>
      <c r="E24" s="118">
        <v>3</v>
      </c>
      <c r="F24" s="118" t="s">
        <v>185</v>
      </c>
      <c r="G24" s="31">
        <f>C24*D24*E24</f>
        <v>300</v>
      </c>
    </row>
    <row r="25" spans="1:7">
      <c r="A25" s="126" t="str">
        <f>'11.Charges'!A24</f>
        <v>Frais indirects de vente</v>
      </c>
      <c r="B25" s="31" t="str">
        <f>'11.Charges'!B24</f>
        <v>Commission MP Prêt-à-porter femme</v>
      </c>
      <c r="C25" s="31">
        <f>'11.Charges'!D24</f>
        <v>1</v>
      </c>
      <c r="D25" s="31">
        <f>'11.Charges'!E24</f>
        <v>50</v>
      </c>
      <c r="E25" s="118">
        <v>3</v>
      </c>
      <c r="F25" s="118" t="s">
        <v>185</v>
      </c>
      <c r="G25" s="31">
        <f>C25*D25*E25</f>
        <v>150</v>
      </c>
    </row>
    <row r="26" spans="1:7">
      <c r="A26" s="126" t="str">
        <f>'11.Charges'!A25</f>
        <v>Frais indirects de vente de services</v>
      </c>
      <c r="B26" s="31">
        <f>'11.Charges'!B25</f>
        <v/>
      </c>
      <c r="C26" s="31">
        <f>'11.Charges'!D25</f>
        <v>1</v>
      </c>
      <c r="D26" s="31">
        <f>'11.Charges'!E25</f>
        <v/>
      </c>
      <c r="E26" s="118">
        <v>3</v>
      </c>
      <c r="F26" s="118" t="s">
        <v>186</v>
      </c>
      <c r="G26" s="31">
        <f>C26*D26*E26</f>
        <v>0</v>
      </c>
    </row>
    <row r="27" spans="1:7">
      <c r="A27" s="126" t="str">
        <f>'11.Charges'!A26</f>
        <v>Salaires et Avantages </v>
      </c>
      <c r="B27" s="31" t="str">
        <f>'11.Charges'!B26</f>
        <v>Salaire personnel</v>
      </c>
      <c r="C27" s="31">
        <f>'11.Charges'!D26</f>
        <v>1</v>
      </c>
      <c r="D27" s="31">
        <f>'11.Charges'!E26</f>
        <v>0.22</v>
      </c>
      <c r="E27" s="118">
        <v>3</v>
      </c>
      <c r="F27" s="118" t="s">
        <v>186</v>
      </c>
      <c r="G27" s="31">
        <f>C27*D27*E27</f>
        <v>0.66</v>
      </c>
    </row>
    <row r="28" spans="1:7">
      <c r="A28" s="126" t="str">
        <f>'11.Charges'!A27</f>
        <v>Taxe et redevance</v>
      </c>
      <c r="B28" s="31" t="str">
        <f>'11.Charges'!B27</f>
        <v>Timbre</v>
      </c>
      <c r="C28" s="31">
        <f>'11.Charges'!D27</f>
        <v>1</v>
      </c>
      <c r="D28" s="31">
        <f>'11.Charges'!E27</f>
        <v>0.0048</v>
      </c>
      <c r="E28" s="118">
        <v>3</v>
      </c>
      <c r="F28" s="118" t="s">
        <v>186</v>
      </c>
      <c r="G28" s="31">
        <f>C28*D28*E28</f>
        <v>0.0144</v>
      </c>
    </row>
    <row r="29" spans="1:7">
      <c r="A29" s="126" t="str">
        <f>'11.Charges'!A28</f>
        <v>Impôt sur les entreprises</v>
      </c>
      <c r="B29" s="31" t="str">
        <f>'11.Charges'!B28</f>
        <v>BIC</v>
      </c>
      <c r="C29" s="31">
        <f>'11.Charges'!D28</f>
        <v>1</v>
      </c>
      <c r="D29" s="31">
        <f>'11.Charges'!E28</f>
        <v>0.0307</v>
      </c>
      <c r="E29" s="118">
        <v>3</v>
      </c>
      <c r="F29" s="118" t="s">
        <v>186</v>
      </c>
      <c r="G29" s="31">
        <f>C29*D29*E29</f>
        <v>0.0921</v>
      </c>
    </row>
    <row r="30" spans="1:7">
      <c r="A30" s="126" t="str">
        <f>'11.Charges'!A29</f>
        <v>Action commerciale</v>
      </c>
      <c r="B30" s="31" t="str">
        <f>'11.Charges'!B29</f>
        <v>Sponsoring page réseaux sociaux</v>
      </c>
      <c r="C30" s="31">
        <f>'11.Charges'!D29</f>
        <v>1</v>
      </c>
      <c r="D30" s="31">
        <f>'11.Charges'!E29</f>
        <v>1900000</v>
      </c>
      <c r="E30" s="118">
        <v>1</v>
      </c>
      <c r="F30" s="118" t="s">
        <v>186</v>
      </c>
      <c r="G30" s="31">
        <f>C30*D30*E30</f>
        <v>1900000</v>
      </c>
    </row>
    <row r="31" spans="1:7">
      <c r="A31" s="126" t="str">
        <f>'11.Charges'!A30</f>
        <v>Frais Généraux </v>
      </c>
      <c r="B31" s="31" t="str">
        <f>'11.Charges'!B30</f>
        <v>Frais administration</v>
      </c>
      <c r="C31" s="31">
        <f>'11.Charges'!D30</f>
        <v>1</v>
      </c>
      <c r="D31" s="31">
        <f>'11.Charges'!E30</f>
        <v>25000</v>
      </c>
      <c r="E31" s="118">
        <v>3</v>
      </c>
      <c r="F31" s="118" t="s">
        <v>186</v>
      </c>
      <c r="G31" s="31">
        <f>C31*D31*E31</f>
        <v>75000</v>
      </c>
    </row>
    <row r="32" spans="1:7">
      <c r="A32" s="126" t="str">
        <f>'11.Charges'!A31</f>
        <v>Energie/Electricité/ Eau</v>
      </c>
      <c r="B32" s="31" t="str">
        <f>'11.Charges'!B31</f>
        <v>Eau</v>
      </c>
      <c r="C32" s="31">
        <f>'11.Charges'!D31</f>
        <v>1</v>
      </c>
      <c r="D32" s="31">
        <f>'11.Charges'!E31</f>
        <v>82500</v>
      </c>
      <c r="E32" s="118">
        <v>3</v>
      </c>
      <c r="F32" s="118" t="s">
        <v>186</v>
      </c>
      <c r="G32" s="31">
        <f>C32*D32*E32</f>
        <v>247500</v>
      </c>
    </row>
    <row r="33" spans="1:7">
      <c r="A33" s="126" t="str">
        <f>'11.Charges'!A32</f>
        <v>Frais de transport </v>
      </c>
      <c r="B33" s="31" t="str">
        <f>'11.Charges'!B32</f>
        <v>Carburant</v>
      </c>
      <c r="C33" s="31">
        <f>'11.Charges'!D32</f>
        <v>1</v>
      </c>
      <c r="D33" s="31">
        <f>'11.Charges'!E32</f>
        <v>50000</v>
      </c>
      <c r="E33" s="118">
        <v>3</v>
      </c>
      <c r="F33" s="118" t="s">
        <v>186</v>
      </c>
      <c r="G33" s="31">
        <f>C33*D33*E33</f>
        <v>150000</v>
      </c>
    </row>
    <row r="34" spans="1:7">
      <c r="A34" s="126" t="str">
        <f>'11.Charges'!A33</f>
        <v>Frais de communication</v>
      </c>
      <c r="B34" s="31" t="str">
        <f>'11.Charges'!B33</f>
        <v>Telephone / Internet</v>
      </c>
      <c r="C34" s="31">
        <f>'11.Charges'!D33</f>
        <v>1</v>
      </c>
      <c r="D34" s="31">
        <f>'11.Charges'!E33</f>
        <v>50000</v>
      </c>
      <c r="E34" s="118">
        <v>3</v>
      </c>
      <c r="F34" s="118" t="s">
        <v>186</v>
      </c>
      <c r="G34" s="31">
        <f>C34*D34*E34</f>
        <v>150000</v>
      </c>
    </row>
    <row r="35" spans="1:7">
      <c r="A35" s="126" t="str">
        <f>'11.Charges'!A34</f>
        <v>Publicité et Marketing </v>
      </c>
      <c r="B35" s="31">
        <f>'11.Charges'!B34</f>
        <v/>
      </c>
      <c r="C35" s="31">
        <f>'11.Charges'!D34</f>
        <v>1</v>
      </c>
      <c r="D35" s="31">
        <f>'11.Charges'!E34</f>
        <v/>
      </c>
      <c r="E35" s="118">
        <v>3</v>
      </c>
      <c r="F35" s="118" t="s">
        <v>186</v>
      </c>
      <c r="G35" s="31">
        <f>C35*D35*E35</f>
        <v>0</v>
      </c>
    </row>
    <row r="36" spans="1:7">
      <c r="A36" s="126" t="str">
        <f>'11.Charges'!A35</f>
        <v>Location</v>
      </c>
      <c r="B36" s="31" t="str">
        <f>'11.Charges'!B35</f>
        <v>Loyer</v>
      </c>
      <c r="C36" s="31">
        <f>'11.Charges'!D35</f>
        <v>1</v>
      </c>
      <c r="D36" s="31">
        <f>'11.Charges'!E35</f>
        <v>250000</v>
      </c>
      <c r="E36" s="118">
        <v>0</v>
      </c>
      <c r="F36" s="118" t="s">
        <v>186</v>
      </c>
      <c r="G36" s="31">
        <f>C36*D36*E36</f>
        <v>0</v>
      </c>
    </row>
    <row r="37" spans="1:7">
      <c r="A37" s="126" t="str">
        <f>'11.Charges'!A36</f>
        <v>Assurance</v>
      </c>
      <c r="B37" s="31" t="str">
        <f>'11.Charges'!B36</f>
        <v>Assurance voiture</v>
      </c>
      <c r="C37" s="31">
        <f>'11.Charges'!D36</f>
        <v>1</v>
      </c>
      <c r="D37" s="31">
        <f>'11.Charges'!E36</f>
        <v>12000</v>
      </c>
      <c r="E37" s="118">
        <v>3</v>
      </c>
      <c r="F37" s="118" t="s">
        <v>186</v>
      </c>
      <c r="G37" s="31">
        <f>C37*D37*E37</f>
        <v>36000</v>
      </c>
    </row>
    <row r="38" spans="1:7">
      <c r="A38" s="126" t="str">
        <f>'11.Charges'!A37</f>
        <v>Prestations et Honoraires </v>
      </c>
      <c r="B38" s="31" t="str">
        <f>'11.Charges'!B37</f>
        <v>Frais Infogérance</v>
      </c>
      <c r="C38" s="31">
        <f>'11.Charges'!D37</f>
        <v>1</v>
      </c>
      <c r="D38" s="31">
        <f>'11.Charges'!E37</f>
        <v>380000</v>
      </c>
      <c r="E38" s="118">
        <v>3</v>
      </c>
      <c r="F38" s="118" t="s">
        <v>186</v>
      </c>
      <c r="G38" s="31">
        <f>C38*D38*E38</f>
        <v>1140000</v>
      </c>
    </row>
    <row r="39" spans="1:7">
      <c r="A39" s="126" t="str">
        <f>'11.Charges'!A38</f>
        <v>Autres provisions </v>
      </c>
      <c r="B39" s="31">
        <f>'11.Charges'!B38</f>
        <v/>
      </c>
      <c r="C39" s="31">
        <f>'11.Charges'!D38</f>
        <v>1</v>
      </c>
      <c r="D39" s="31">
        <f>'11.Charges'!E38</f>
        <v/>
      </c>
      <c r="E39" s="118">
        <v>3</v>
      </c>
      <c r="F39" s="118" t="s">
        <v>186</v>
      </c>
      <c r="G39" s="31">
        <f>C39*D39*E39</f>
        <v>0</v>
      </c>
    </row>
    <row r="40" spans="1:7">
      <c r="A40" s="126" t="str">
        <f>'11.Charges'!A39</f>
        <v>Amortissement Bureau</v>
      </c>
      <c r="B40" s="31">
        <f>'11.Charges'!B39</f>
        <v/>
      </c>
      <c r="C40" s="31">
        <f>'11.Charges'!D39</f>
        <v>1</v>
      </c>
      <c r="D40" s="31">
        <f>'11.Charges'!E39</f>
        <v/>
      </c>
      <c r="E40" s="118">
        <v>3</v>
      </c>
      <c r="F40" s="118" t="s">
        <v>186</v>
      </c>
      <c r="G40" s="31">
        <f>C40*D40*E40</f>
        <v>0</v>
      </c>
    </row>
    <row r="41" spans="1:7">
      <c r="A41" s="126" t="str">
        <f>'11.Charges'!A40</f>
        <v>Amortissement Exploitation</v>
      </c>
      <c r="B41" s="31" t="str">
        <f>'11.Charges'!B40</f>
        <v>Amortissement équipement.</v>
      </c>
      <c r="C41" s="31">
        <f>'11.Charges'!D40</f>
        <v>1</v>
      </c>
      <c r="D41" s="31">
        <f>'11.Charges'!E40</f>
        <v>0.0351</v>
      </c>
      <c r="E41" s="118">
        <v>3</v>
      </c>
      <c r="F41" s="118" t="s">
        <v>186</v>
      </c>
      <c r="G41" s="31">
        <f>C41*D41*E41</f>
        <v>0.1053</v>
      </c>
    </row>
    <row r="42" spans="1:7" s="230" customFormat="1">
      <c r="A42" s="229" t="s">
        <v>404</v>
      </c>
      <c r="B42" s="33"/>
      <c r="C42" s="33"/>
      <c r="D42" s="33"/>
      <c r="E42" s="123"/>
      <c r="F42" s="123"/>
      <c r="G42" s="33">
        <f>SUM(G4:G41)</f>
        <v>3775000.8718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BP_Pres</vt:lpstr>
      <vt:lpstr>LiensFeuilles</vt:lpstr>
      <vt:lpstr>1.Var.Fin</vt:lpstr>
      <vt:lpstr>2.Cal.Amo.CT</vt:lpstr>
      <vt:lpstr>3.Cal.Amo.LT</vt:lpstr>
      <vt:lpstr>4.Cal.Amo.AI</vt:lpstr>
      <vt:lpstr>5.Inv</vt:lpstr>
      <vt:lpstr>6.Var.Inv</vt:lpstr>
      <vt:lpstr>7.Bud.Inv.</vt:lpstr>
      <vt:lpstr>8.Prod</vt:lpstr>
      <vt:lpstr>9.Var.Vente1</vt:lpstr>
      <vt:lpstr>10.Vente</vt:lpstr>
      <vt:lpstr>11.Charges</vt:lpstr>
      <vt:lpstr>12.Char.Dir</vt:lpstr>
      <vt:lpstr>13.Var.Char.Ind</vt:lpstr>
      <vt:lpstr>14.Char.Ind</vt:lpstr>
      <vt:lpstr>15.Tre.Men</vt:lpstr>
      <vt:lpstr>16.CR</vt:lpstr>
      <vt:lpstr>17.Tre.An</vt:lpstr>
      <vt:lpstr>18.Van</vt:lpstr>
      <vt:lpstr>19.Bilan</vt:lpstr>
      <vt:lpstr>20.CR IFRS</vt:lpstr>
      <vt:lpstr>21.BFR</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Roméo NANGO</dc:creator>
  <cp:lastModifiedBy>Microsoft Office User</cp:lastModifiedBy>
  <dcterms:created xsi:type="dcterms:W3CDTF">2021-07-06T18:56:11+00:00</dcterms:created>
  <dcterms:modified xsi:type="dcterms:W3CDTF">2022-03-28T02:29:49+00:00</dcterms:modified>
  <dc:title/>
  <dc:description/>
  <dc:subject/>
  <cp:keywords/>
  <cp:category/>
</cp:coreProperties>
</file>